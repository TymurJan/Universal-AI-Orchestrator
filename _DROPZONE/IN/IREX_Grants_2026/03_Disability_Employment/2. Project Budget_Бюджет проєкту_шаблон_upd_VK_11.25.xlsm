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0"/>
  <workbookPr codeName="ThisWorkbook" defaultThemeVersion="124226"/>
  <mc:AlternateContent xmlns:mc="http://schemas.openxmlformats.org/markup-compatibility/2006">
    <mc:Choice Requires="x15">
      <x15ac:absPath xmlns:x15ac="http://schemas.microsoft.com/office/spreadsheetml/2010/11/ac" url="https://irexorg-my.sharepoint.com/personal/vkolodiychuk_irex_org/Documents/Desktop/PROJECTs/!TEMPLATEs/Budget template/Shared with team/"/>
    </mc:Choice>
  </mc:AlternateContent>
  <xr:revisionPtr revIDLastSave="0" documentId="8_{B52BC14B-BE53-469C-B591-AF943AC5DCA9}" xr6:coauthVersionLast="47" xr6:coauthVersionMax="47" xr10:uidLastSave="{00000000-0000-0000-0000-000000000000}"/>
  <bookViews>
    <workbookView xWindow="-110" yWindow="-110" windowWidth="19420" windowHeight="10300" tabRatio="579" firstSheet="1" activeTab="1" xr2:uid="{2FDBAF3B-114C-4BF3-87D7-978360B9A268}"/>
  </bookViews>
  <sheets>
    <sheet name="Summary" sheetId="11" r:id="rId1"/>
    <sheet name="Budget" sheetId="1" r:id="rId2"/>
    <sheet name="Budget narrative" sheetId="12" r:id="rId3"/>
  </sheets>
  <externalReferences>
    <externalReference r:id="rId4"/>
    <externalReference r:id="rId5"/>
    <externalReference r:id="rId6"/>
    <externalReference r:id="rId7"/>
  </externalReferences>
  <definedNames>
    <definedName name="budget">'[1]Budget Line Item'!#REF!</definedName>
    <definedName name="BudgetDirectTotal">[2]Summary!#REF!</definedName>
    <definedName name="BudgetGrandTotal">[2]Summary!#REF!</definedName>
    <definedName name="BudgetOHDirect">[2]Summary!#REF!</definedName>
    <definedName name="BudgetOHInstitute">[2]Summary!#REF!</definedName>
    <definedName name="BudgetOHSubs">[2]Summary!#REF!</definedName>
    <definedName name="BudgetOHTotal">[2]Summary!#REF!</definedName>
    <definedName name="BudgetSubsTotal">[2]Summary!#REF!</definedName>
    <definedName name="CO">#REF!</definedName>
    <definedName name="Duration">#REF!</definedName>
    <definedName name="GBLC">#REF!</definedName>
    <definedName name="infl">[3]Links!$A$6</definedName>
    <definedName name="Inflation">#REF!</definedName>
    <definedName name="Inflation_factor_year_1">'[1]Budget Line Item'!#REF!</definedName>
    <definedName name="Inflation_factor_year_2">'[1]Budget Line Item'!#REF!</definedName>
    <definedName name="Inflation_factor_year_3">'[1]Budget Line Item'!#REF!</definedName>
    <definedName name="Inflation_factor_year_4">'[1]Budget Line Item'!#REF!</definedName>
    <definedName name="Inflation_factor_year_5">'[1]Budget Line Item'!#REF!</definedName>
    <definedName name="LCO">#REF!</definedName>
    <definedName name="LPA">#REF!</definedName>
    <definedName name="LW">#REF!</definedName>
    <definedName name="Merit">#REF!</definedName>
    <definedName name="National_factor_year1">'[1]Budget Line Item'!#REF!</definedName>
    <definedName name="National_factor_year2">'[1]Budget Line Item'!#REF!</definedName>
    <definedName name="National_factor_year3">'[1]Budget Line Item'!#REF!</definedName>
    <definedName name="National_factor_year4">'[1]Budget Line Item'!#REF!</definedName>
    <definedName name="National_factor_year5">'[1]Budget Line Item'!#REF!</definedName>
    <definedName name="PA">#REF!</definedName>
    <definedName name="PI">#REF!</definedName>
    <definedName name="_xlnm.Print_Area" localSheetId="1">Budget!$A$7:$I$60</definedName>
    <definedName name="_xlnm.Print_Titles" localSheetId="1">Budget!$9:$9</definedName>
    <definedName name="Print_Titles_MI">#REF!</definedName>
    <definedName name="RFA">#REF!</definedName>
    <definedName name="Salaryinf">[4]Links!$A$5</definedName>
    <definedName name="SC">#REF!</definedName>
    <definedName name="tcnfringe">[3]Links!#REF!</definedName>
    <definedName name="Template_Rang">#REF!</definedName>
    <definedName name="Title">#REF!</definedName>
    <definedName name="usai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6" i="1" l="1"/>
  <c r="H57" i="1" s="1"/>
  <c r="H41" i="1"/>
  <c r="I41" i="1"/>
  <c r="H12" i="1"/>
  <c r="H11" i="1"/>
  <c r="I11" i="1"/>
  <c r="H47" i="1"/>
  <c r="I47" i="1"/>
  <c r="H46" i="1"/>
  <c r="I46" i="1"/>
  <c r="H48" i="1"/>
  <c r="I48" i="1"/>
  <c r="H49" i="1"/>
  <c r="I49" i="1"/>
  <c r="H39" i="1"/>
  <c r="H28" i="1"/>
  <c r="I28" i="1"/>
  <c r="H29" i="1"/>
  <c r="I29" i="1"/>
  <c r="H31" i="1"/>
  <c r="I31" i="1"/>
  <c r="H32" i="1"/>
  <c r="I32" i="1"/>
  <c r="H33" i="1"/>
  <c r="I33" i="1"/>
  <c r="H52" i="1"/>
  <c r="I52" i="1"/>
  <c r="H51" i="1"/>
  <c r="I51" i="1"/>
  <c r="H40" i="1"/>
  <c r="I40" i="1"/>
  <c r="H30" i="1"/>
  <c r="I30" i="1"/>
  <c r="H34" i="1"/>
  <c r="I34" i="1"/>
  <c r="H27" i="1"/>
  <c r="H36" i="1" s="1"/>
  <c r="B7" i="11" s="1"/>
  <c r="H23" i="1"/>
  <c r="H24" i="1" s="1"/>
  <c r="B6" i="11" s="1"/>
  <c r="H18" i="1"/>
  <c r="I18" i="1"/>
  <c r="H19" i="1"/>
  <c r="I19" i="1"/>
  <c r="H17" i="1"/>
  <c r="H20" i="1" s="1"/>
  <c r="B5" i="11" s="1"/>
  <c r="I17" i="1"/>
  <c r="I20" i="1" s="1"/>
  <c r="I12" i="1"/>
  <c r="C14" i="1"/>
  <c r="H14" i="1" s="1"/>
  <c r="I14" i="1"/>
  <c r="I23" i="1"/>
  <c r="I24" i="1" s="1"/>
  <c r="I39" i="1"/>
  <c r="I42" i="1" s="1"/>
  <c r="I27" i="1"/>
  <c r="I36" i="1" s="1"/>
  <c r="B11" i="11"/>
  <c r="I57" i="1"/>
  <c r="I56" i="1"/>
  <c r="J57" i="1" s="1"/>
  <c r="H42" i="1" l="1"/>
  <c r="B8" i="11" s="1"/>
  <c r="I53" i="1"/>
  <c r="H53" i="1"/>
  <c r="B9" i="11" s="1"/>
  <c r="I15" i="1"/>
  <c r="H15" i="1"/>
  <c r="H54" i="1" l="1"/>
  <c r="H60" i="1" s="1"/>
  <c r="J36" i="1"/>
  <c r="J42" i="1"/>
  <c r="J20" i="1"/>
  <c r="B4" i="11"/>
  <c r="B10" i="11" s="1"/>
  <c r="B12" i="11" s="1"/>
  <c r="J24" i="1"/>
  <c r="J15" i="1"/>
  <c r="J53" i="1"/>
  <c r="I54" i="1"/>
  <c r="J54" i="1" l="1"/>
  <c r="I60" i="1"/>
  <c r="J6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Valentina Kolodiychuk</author>
  </authors>
  <commentList>
    <comment ref="C11" authorId="0" shapeId="0" xr:uid="{67DCF82C-5D5A-449A-A3F1-124F79E8CC5B}">
      <text>
        <r>
          <rPr>
            <b/>
            <sz val="9"/>
            <color indexed="81"/>
            <rFont val="Tahoma"/>
            <family val="2"/>
          </rPr>
          <t>Valentina Kolodiychuk:</t>
        </r>
        <r>
          <rPr>
            <sz val="9"/>
            <color indexed="81"/>
            <rFont val="Tahoma"/>
            <family val="2"/>
          </rPr>
          <t xml:space="preserve">
Тут зазначте розмір оплати кожному співробітнику в місяць</t>
        </r>
      </text>
    </comment>
    <comment ref="F11" authorId="0" shapeId="0" xr:uid="{06C85001-1FC6-48F3-842A-26CBE6614370}">
      <text>
        <r>
          <rPr>
            <b/>
            <sz val="9"/>
            <color indexed="81"/>
            <rFont val="Tahoma"/>
            <family val="2"/>
          </rPr>
          <t>Valentina Kolodiychuk:</t>
        </r>
        <r>
          <rPr>
            <sz val="9"/>
            <color indexed="81"/>
            <rFont val="Tahoma"/>
            <family val="2"/>
          </rPr>
          <t xml:space="preserve">
Тут, у відсотках вкажіть рівень залученності кожного співробітника в проект</t>
        </r>
      </text>
    </comment>
  </commentList>
</comments>
</file>

<file path=xl/sharedStrings.xml><?xml version="1.0" encoding="utf-8"?>
<sst xmlns="http://schemas.openxmlformats.org/spreadsheetml/2006/main" count="141" uniqueCount="120">
  <si>
    <t>Annex 2. Summary Budget /  Додаток 2. Короткий бюджет</t>
  </si>
  <si>
    <t>DONOR</t>
  </si>
  <si>
    <t>Total</t>
  </si>
  <si>
    <t>a) Personnel</t>
  </si>
  <si>
    <t>b) Travel</t>
  </si>
  <si>
    <t>c) Equipment</t>
  </si>
  <si>
    <t>d) Supplies</t>
  </si>
  <si>
    <t>e) Contractual</t>
  </si>
  <si>
    <t>f) Other Direct Costs</t>
  </si>
  <si>
    <t>g) Total Direct Charges (sum a-g)</t>
  </si>
  <si>
    <t>h) Indirect Charges</t>
  </si>
  <si>
    <t>i) Total Charges</t>
  </si>
  <si>
    <t xml:space="preserve">ІНСТРУКЦІЯ: Витрати, зазначені в бюджеті, повинні обов’язково відповідати загальним вимогам, специфічним цілям проєкту, та запланованій діяльності. Слідуйте структурі наданого бюджету IREX та групуйте витрати у таблиці відповідно до запланованої діяльності. Кошти слід вказувати в доларах США (USD). По кожній статті витрат обов’язково додайте опис витрат у останній колонці бюджету «Детальний опис» - приклади коментарів надаються. Зверніть увагу, що в бюджеті вже закладені формули, які автоматично рахують загальні витрати по проєкту та суму проєкту. Будь ласка, зверніть увагу, що наданий бюджет є стандартною формою IREX. Просимо адаптувати бюджет відповідно до вашого бачення діяльності проєкту. </t>
  </si>
  <si>
    <t>Project Name / Назва проекту</t>
  </si>
  <si>
    <t>Organization(s) Name / Назва організації (-ій)</t>
  </si>
  <si>
    <t>Request For Application / Запит на заявку</t>
  </si>
  <si>
    <t>Грантова  підтримка від Програми _________________</t>
  </si>
  <si>
    <t xml:space="preserve">Дата заповнення бюджету: </t>
  </si>
  <si>
    <t>Курс НБУ (обов'язково вкажіть 4 цифри після коми). Можна використовувати як формулу.</t>
  </si>
  <si>
    <t>Duration / Тривалість виконання проекту (Вкажіть, будь ласка, період проєкту, а в дужках кількість місяців )</t>
  </si>
  <si>
    <t xml:space="preserve">Важливо: Бюджет має бути заповнений 2 мовами англійською та укрїанською (через "/"). 
</t>
  </si>
  <si>
    <t xml:space="preserve">Country  / Країна реалізації проекту </t>
  </si>
  <si>
    <t>Україна</t>
  </si>
  <si>
    <t>Важливо: Дві особи, які є родичами не можуть працювати в одному проєкті, якщо одна особа є підзвітною іншій особі, оскільки в такому випадку виникає конфлікт інтересів. Одна особа не може виконувати обов’язки на різних посадах протягом втілення проєкту. Одна особа не може бути залучена більше, ніж 100% на виконання даного проекту чи  паралельно між іншими проєктами</t>
  </si>
  <si>
    <t>BUDGET ITEMS / СТАТТЯ ВИТРАТ</t>
  </si>
  <si>
    <t>Unit Cost / Вартість одиниці</t>
  </si>
  <si>
    <t>Quantity / Кількість</t>
  </si>
  <si>
    <t>Unit / Одиниця виміру</t>
  </si>
  <si>
    <t xml:space="preserve">TOTAL / Всього </t>
  </si>
  <si>
    <t>TOTAL / Всього</t>
  </si>
  <si>
    <t xml:space="preserve">Comments / Детальний опис витрат </t>
  </si>
  <si>
    <t xml:space="preserve">Пояснення </t>
  </si>
  <si>
    <t>Personnel / Персонал</t>
  </si>
  <si>
    <t>В детальному описі, поясніть, будь ласка, як ви встановлюєте рівень заробітної плати для кожного співробітника та як ви визначили відсоток залучення до діяльності проекту. Включіть короткий опис обов'язків та ролі в проекті для кожної особи, яка зазначена в бюджеті. В даній категорії витрат можете включати ключовий персонал, що буде задіяний в реалізації гранту ( штатний працівник, ЦПХ чи ФОП). Наприклад: Завантаження менеджера проєкту 100%. Менеджер проєкту виконуватиме такі функції: загальна координація проєкту, налагодження стосунків з партнерами,… Посилання на резюме додається (лінк гугл диску на резюме). Рівень заробітної плати підтверджений діючим контрактом (додається до бюджету) або попереднім контрактом та актом виконаних робіт, штатним розписом. У разі відсутності підтвердження рівня оплати праці- орієнтуємося на медіану зарплати менеджера проєкту з врахуванням регіону надання послуг та досвіду роботи на аналогічній посаді, напрямку надання послуг. Цю інформацію можна знайти на агрегаторах з пошуку роботи типу work ua, robota ua.</t>
  </si>
  <si>
    <t>Staff 1, Name / співробітник 1, ПІБ</t>
  </si>
  <si>
    <t>month / місяць</t>
  </si>
  <si>
    <t>time / часу</t>
  </si>
  <si>
    <t>Staff 2, Name / співробітник 2, ПІБ</t>
  </si>
  <si>
    <t>Local Staff Benefits/  Податки з організації</t>
  </si>
  <si>
    <t>Social Security Fund Contribution (22%) / ЄСВ 22%. Єдиний соціальний внесок</t>
  </si>
  <si>
    <t>Для працівників, які в штаті або працюють за договором цивільно-правового характеру (ЦПХ) враховується оплата ЄСВ, для фахівців, що працюють за договором ФОП, всі податки сплачуються самостійно.</t>
  </si>
  <si>
    <t>Subtotal Personnel / Всього за категорією Персонал</t>
  </si>
  <si>
    <t>Travel / Транспортні витрати</t>
  </si>
  <si>
    <t>Participant Travel / Транспортні послуги для перевезення учасників</t>
  </si>
  <si>
    <t>participants/учасники</t>
  </si>
  <si>
    <t>person / осіб</t>
  </si>
  <si>
    <t>У випадку, якщо ваш проект передбачає транспортні витрати, будь ласка, зазначте їх опис в колонці "Детальний опис витрат". Будь ласка, детально опишіть витрати на всі заплановані подорожі по проекту та вкажіть підставу для витрат. Наприклад: витрати на транспортні послуги. В описі зазначте якого заходу чи заході стосуються транспортні послуги. Наприклад: $20 за поїздку* 4 особи*5 поїздок=$400 Вартість однієї поїздки підтверджена оголошеною ціною на сайті УЗД: https://booking.uz.gov.ua/ru/?from=2200001&amp;to=2218000&amp;date=2022-04-24&amp;time=00%3A00&amp;train=743%D0%9B&amp;wagon_type_id=%D0%A12&amp;url=place-form.</t>
  </si>
  <si>
    <t xml:space="preserve">Ground transportation / Транспортні послуги </t>
  </si>
  <si>
    <t>trip / подорож</t>
  </si>
  <si>
    <t>Lodging / Проживання в готелі</t>
  </si>
  <si>
    <t>day / днів</t>
  </si>
  <si>
    <t xml:space="preserve">Вкажіть в описі якого заходу чи заходів стосується стаття та зазначте інформацію щодо місця проживаня - номер одно чи двомісний, у вартість входить сніданок чи ні. Наприклад: $x0 за проживання*4 особи*5 ночей=$1000 Вартість однієї ночі проживання у готелі підтверджена оголошеною ціною на сайті: https://www.booking.com/hotel/ua/ </t>
  </si>
  <si>
    <t>Subtotal Travel /                                            Всього за категорією Транспортні послуги</t>
  </si>
  <si>
    <t>Equipment / Обладнання (вартість обладнання від 10 тис дол. за од. )</t>
  </si>
  <si>
    <t xml:space="preserve">В детальному описі, поясніть, будь ласка, мету та доцільність закупки обладнання, якщо такі витрати передбачені проектом. Також надайте лінк-посилання на кожний вид витрати. Коротко зазначте з якою метою та в рамках якого заходу закуповується обладнання, хто буде його використовувати та додайте посилання на вартість - це можуть бути сайти типу Rozetka ua, Epicentr ітд. Просимо вказати хто буде використовувати дане обладнання після закінчення проєкту. </t>
  </si>
  <si>
    <t>Equipment / Технічне обладнання</t>
  </si>
  <si>
    <t>month  / місяць</t>
  </si>
  <si>
    <t>Subtotal Equipment / Всього за категорією Обладнання</t>
  </si>
  <si>
    <t>Supplies / Товарно-матеріальні цінності</t>
  </si>
  <si>
    <t>В колонці "Детальний опис витрат", поясніть, будь ласка, мету та підставу для цих витрат та надайте посилання на ресурс. Кожен вид витрати має бути зазначений в новому рядочку, оскільки має свою вартість за одиницю. Якщо під час складання бюджету на певний товар є акція, то треба вказати ціну без акції, щоб вам вистачило коштів у разі анулювання акції.</t>
  </si>
  <si>
    <t>Office Supplies / Канцтовари</t>
  </si>
  <si>
    <t>Наприклад: Канцтовари включатимуть папір А4, папір для фліпчарту, набір маркерів, набір ручок, олівців, різнокольоровий папір для нотаток, картриджі для принтеру. $50на місяць* 6 місяців=$300 Ціни підтверджені комерційною пропозицією компанії "ABC" ( додається до бюджету)</t>
  </si>
  <si>
    <t>Program Supplies / Товарно-матеріальні цінності</t>
  </si>
  <si>
    <t>item / од.</t>
  </si>
  <si>
    <t>Коротко зазначте з якою метою та в рамках якого заходу закуповлюється обладнання, хто буде його використовувати. $x00 за один ноутбук * 2 ноутбуки= $x000 Вартість ноутбука підтверджена оголошеною ціною на сайті, наприклад: https://rozetka.com.ua/</t>
  </si>
  <si>
    <t>Office Furniture / Офісні меблі</t>
  </si>
  <si>
    <t>Вкажіть, до якої конкретної активності або завдання прив’язане використання офісного приладдя/меблів (наприклад, проведення навчальних заходів, зустрічей, консультацій з учасниками тощо). Подайте конкретний перелік одиниць, включаючи: 
кількість (шт.); одиничну вартість; постачальника</t>
  </si>
  <si>
    <t>Subtotal Supplies / Всього за категорією ТМЦ</t>
  </si>
  <si>
    <t>Contractual services / Послуги на контрактній основі</t>
  </si>
  <si>
    <t xml:space="preserve">В детальному описі, поясніть, будь ласка, яка роль консультантів, що будуть залучені в проект. Вкажіть погодинний рівень оплати чи за об'єм робіт для кожного консультанта/тренера/ментора. </t>
  </si>
  <si>
    <t>Trainer services</t>
  </si>
  <si>
    <t>training/тренінг</t>
  </si>
  <si>
    <t>Наприклад: У рамках проєкту планується провести 10 тренінгів з групами по 20 осіб. Всього планується залучити 200 осіб. Загальна тривалість 1 тренінгу становить 8 год. Розрахунок вартості: $хх тренінг/особу *20 осіб/тренінг *10 тренінгів = $х,хх.00     Вартість послуг підтверджується комерційною пропозицією від надавача послуг ФОП/ТОВ (лінк-посилання на гугл диск)</t>
  </si>
  <si>
    <t>Consultant А</t>
  </si>
  <si>
    <t>hour/год</t>
  </si>
  <si>
    <t>В детальному описі, поясніть, будь ласка, як ви встановлюєте рівень оплати для кожного(ї) задіяного(ї) фахівця/чині та як ви визначили його/її залучення до діяльності проекту. Включіть короткий опис обов'язків та ролі в проекті для кожної особи, яка зазначена в бюджеті. В даній категорії витрат можете включати консультантів/тренерів/менторів,що будуть задіяні в реалізації гранту. Посилання на резюме додається (лінк гугл диску на резюме). Рівень оплати послуги може бути підтверджений діючим контрактом (додається до бюджету) або попереднім контрактом та актом виконаних робіт, ціновою пропозицією</t>
  </si>
  <si>
    <t>Consultant В</t>
  </si>
  <si>
    <t>Subtotal Contractual / Всього за категорією Консультанти</t>
  </si>
  <si>
    <t>Other Direct Costs / Інші прямі витрати</t>
  </si>
  <si>
    <t>Activities / Заходи</t>
  </si>
  <si>
    <t>Згідно з нашими політиками, ми покриваємо кава-паузу, якщо захід триває від 4 годин, якщо захід 6 -8 годин, то можливо бюджетувати кава-паузу та обід. Для підтвердження та обґрунтування кава-пауз або інших закупок вам необхідно запросити у постачальників цінову пропозицію, або рахунок/кошторис витрат</t>
  </si>
  <si>
    <t>Trainings - venue / Тренінги - оренда залу</t>
  </si>
  <si>
    <t>venue/оренда залу</t>
  </si>
  <si>
    <t>Оренда залу підтверджується рахунком/комерційною пропозицією за посиланням:    Необхідно зазначити, для яких саме тренінгів/подій орендується зал</t>
  </si>
  <si>
    <t>Trainings -refreshments/ Кава-паузи під час заходів</t>
  </si>
  <si>
    <t>1 обід під час 8годинного тренінгу для 20 учасників та 1 тренера. Розрахунок: $х.00 вартість1 обід/особу * 21 осіб/тренінг (20 учасників та 1 тренер) * 10 тренінгів = $х,хх.00 Вартість обіду підтверджується рахунком/ціновою пропозицією/калькуляцією за посиланням:_______________</t>
  </si>
  <si>
    <t>Trainings -lunches/ Обіди під час заходів</t>
  </si>
  <si>
    <t>2 кавобрейки під час 8годинного тренінгу для 20 учасників та 1 тренера. Розрахунок: $х.00 вартість 2 кавобрейків/особу * 21 осіб/тренінг (20 учасників та 1 тренер) * 10 тренінгів = $х,хх.00 Вартість кавобрейку підтверджується рахунком/ціновою пропозицією/калькуляцією за посиланням:_______________</t>
  </si>
  <si>
    <t>Office / Обслуговування Офісу</t>
  </si>
  <si>
    <t>Communication / Інтернет та зв'язок</t>
  </si>
  <si>
    <t>month/місяць</t>
  </si>
  <si>
    <t>Вартість можна підтвердити рахунками організації за попередні місяці та обгрунтуванням розподілу частки витрат, що припадає на цей гранту</t>
  </si>
  <si>
    <t>Bank Fees / Банківськи витрати на проведення платежів з р.р.</t>
  </si>
  <si>
    <t>Зазначте тип рахунку, вартість щомісячної плати за обслуговуання та вартість комісії за проведення платежу. Розрахунок за даною статтею: 350 грн вартість обслуговування рахунку + 50 платежів по 3 грн щомісяця = 500 грн/місяць</t>
  </si>
  <si>
    <t>Subtotal Other Direct Costs / Всього Інші Прямі Витрати</t>
  </si>
  <si>
    <t>TOTAL DIRECT COSTS / ВСЬОГО ЗА КАТЕГОРІЄЮ ПРЯМІ ВИТРАТИ</t>
  </si>
  <si>
    <t>Indirect Costs / Непрямі витрати</t>
  </si>
  <si>
    <t>Overhead Rate / Адміністративні непрямі витрати</t>
  </si>
  <si>
    <t>TOTAL INDIRECT COSTS / Всього за категорією Непрямі витрати</t>
  </si>
  <si>
    <t>TOTAL PROGRAM COSTS / ВСЬОГО ПРОГРАМНІ ВИТРАТИ</t>
  </si>
  <si>
    <t>Не може перевищувати граничної суми встановленої у Запиті на надання пропозицій</t>
  </si>
  <si>
    <t xml:space="preserve">
</t>
  </si>
  <si>
    <t>[Name] Budget Narrative</t>
  </si>
  <si>
    <t>The budget narrative will serve to explain your line-item budget and should explain the basis for costs in the proposal.</t>
  </si>
  <si>
    <t>Please explain the basis for your cost estimates and your escalation rates.</t>
  </si>
  <si>
    <t>Personnel</t>
  </si>
  <si>
    <t>Please explain how your organization sets salaries and how it determined the percentage of time required.  Include brief description of roles for each budgeted staff person.</t>
  </si>
  <si>
    <t>Travel</t>
  </si>
  <si>
    <t>Please explain international, local and other travel and basis for costs.</t>
  </si>
  <si>
    <t xml:space="preserve">Equipment </t>
  </si>
  <si>
    <t>Please explain any equipment that will be purchased over $10,000 per item.</t>
  </si>
  <si>
    <t>Supplies</t>
  </si>
  <si>
    <t xml:space="preserve">Please explain any supplies (including expendable equipment) and the basis for these costs that are budgeted. </t>
  </si>
  <si>
    <t>Contractual</t>
  </si>
  <si>
    <t>Other Direct Costs</t>
  </si>
  <si>
    <t>Possible other direct costs:</t>
  </si>
  <si>
    <t>Office costs, expat allowances (if budgeted) and programmatic activities, and other costs.</t>
  </si>
  <si>
    <t>Please explain both the unit amount and the number of units.</t>
  </si>
  <si>
    <t xml:space="preserve">Indirect Costs </t>
  </si>
  <si>
    <t xml:space="preserve">If you have a NICRA please list your NICRA rates if you do not have a NICRA please do not budget indirect costs without prior consultation with IREX.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</si>
</sst>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5" formatCode="&quot;$&quot;#,##0_);\(&quot;$&quot;#,##0\)"/>
    <numFmt numFmtId="44" formatCode="_(&quot;$&quot;* #,##0.00_);_(&quot;$&quot;* \(#,##0.00\);_(&quot;$&quot;* &quot;-&quot;??_);_(@_)"/>
    <numFmt numFmtId="43" formatCode="_(* #,##0.00_);_(* \(#,##0.00\);_(* &quot;-&quot;??_);_(@_)"/>
    <numFmt numFmtId="164" formatCode="&quot;$&quot;#,##0"/>
    <numFmt numFmtId="165" formatCode="_(* #,##0_);_(* \(#,##0\);_(* &quot;-&quot;??_);_(@_)"/>
    <numFmt numFmtId="166" formatCode="&quot;$&quot;#,##0.00"/>
    <numFmt numFmtId="167" formatCode="0.0%"/>
    <numFmt numFmtId="168" formatCode="_-* #,##0.00_-;\-* #,##0.00_-;_-* &quot;-&quot;??_-;_-@_-"/>
    <numFmt numFmtId="169" formatCode="_ * #,##0.00_ ;_ * \-#,##0.00_ ;_ * &quot;-&quot;??_ ;_ @_ "/>
    <numFmt numFmtId="170" formatCode="#,##0.0"/>
    <numFmt numFmtId="171" formatCode="_(\$* #,##0.00_);_(\$* \(#,##0.00\);_(\$* &quot;-&quot;??_);_(@_)"/>
    <numFmt numFmtId="172" formatCode="_-* #,##0.00\ _€_-;\-* #,##0.00\ _€_-;_-* &quot;-&quot;??\ _€_-;_-@_-"/>
    <numFmt numFmtId="173" formatCode="_-&quot;£&quot;* #,##0.00_-;\-&quot;£&quot;* #,##0.00_-;_-&quot;£&quot;* &quot;-&quot;??_-;_-@_-"/>
    <numFmt numFmtId="174" formatCode="_-* #,##0.00\ [$€]_-;\-* #,##0.00\ [$€]_-;_-* &quot;-&quot;??\ [$€]_-;_-@_-"/>
    <numFmt numFmtId="175" formatCode="_ [$€-2]\ * #,##0.00_ ;_ [$€-2]\ * \-#,##0.00_ ;_ [$€-2]\ * &quot;-&quot;??_ "/>
    <numFmt numFmtId="176" formatCode="#,###,##0.00;\(#,###,##0.00\)"/>
    <numFmt numFmtId="177" formatCode="&quot;$&quot;#,###,##0.00;\(&quot;$&quot;#,###,##0.00\)"/>
    <numFmt numFmtId="178" formatCode="#,##0.00%;\(#,##0.00%\)"/>
    <numFmt numFmtId="179" formatCode="#."/>
    <numFmt numFmtId="180" formatCode="_-* #,##0.00_-;\-* #,##0.00_-;_-* \-??_-;_-@_-"/>
    <numFmt numFmtId="181" formatCode="_-* #,##0\ _p_t_a_-;\-* #,##0\ _p_t_a_-;_-* &quot;-&quot;\ _p_t_a_-;_-@_-"/>
    <numFmt numFmtId="182" formatCode="_ * #,##0.00_)\ _B_s_._ ;_ * \(#,##0.00\)\ _B_s_._ ;_ * &quot;-&quot;??_)\ _B_s_._ ;_ @_ "/>
    <numFmt numFmtId="183" formatCode="_(&quot;R$ &quot;* #,##0.00_);_(&quot;R$ &quot;* \(#,##0.00\);_(&quot;R$ &quot;* &quot;-&quot;??_);_(@_)"/>
    <numFmt numFmtId="184" formatCode="[$-409]mmmm\-yy;@"/>
    <numFmt numFmtId="185" formatCode="[$£-809]#,##0.000"/>
  </numFmts>
  <fonts count="133">
    <font>
      <sz val="10"/>
      <name val="Arial"/>
    </font>
    <font>
      <sz val="10"/>
      <name val="Arial"/>
      <family val="2"/>
    </font>
    <font>
      <b/>
      <sz val="10"/>
      <name val="Arial"/>
      <family val="2"/>
    </font>
    <font>
      <sz val="8"/>
      <name val="Arial"/>
      <family val="2"/>
    </font>
    <font>
      <sz val="11"/>
      <color indexed="8"/>
      <name val="Calibri"/>
      <family val="2"/>
    </font>
    <font>
      <sz val="11"/>
      <color indexed="9"/>
      <name val="Calibri"/>
      <family val="2"/>
    </font>
    <font>
      <sz val="10"/>
      <name val="Times New Roman"/>
      <family val="1"/>
    </font>
    <font>
      <sz val="10"/>
      <name val="Times New Roman"/>
      <family val="1"/>
      <charset val="204"/>
    </font>
    <font>
      <b/>
      <sz val="11"/>
      <color indexed="8"/>
      <name val="Calibri"/>
      <family val="2"/>
    </font>
    <font>
      <b/>
      <sz val="18"/>
      <color indexed="62"/>
      <name val="Cambria"/>
      <family val="2"/>
    </font>
    <font>
      <u/>
      <sz val="7.5"/>
      <color indexed="12"/>
      <name val="Arial"/>
      <family val="2"/>
    </font>
    <font>
      <sz val="10"/>
      <name val="Arial"/>
      <family val="2"/>
      <charset val="204"/>
    </font>
    <font>
      <b/>
      <sz val="11"/>
      <name val="Arial"/>
      <family val="2"/>
    </font>
    <font>
      <b/>
      <sz val="9"/>
      <name val="Arial"/>
      <family val="2"/>
    </font>
    <font>
      <sz val="9"/>
      <name val="Arial"/>
      <family val="2"/>
    </font>
    <font>
      <sz val="11"/>
      <name val="Arial"/>
      <family val="2"/>
    </font>
    <font>
      <sz val="10"/>
      <color indexed="10"/>
      <name val="Arial"/>
      <family val="2"/>
    </font>
    <font>
      <b/>
      <sz val="10"/>
      <color indexed="9"/>
      <name val="Arial"/>
      <family val="2"/>
    </font>
    <font>
      <u/>
      <sz val="10"/>
      <color indexed="12"/>
      <name val="Arial"/>
      <family val="2"/>
    </font>
    <font>
      <i/>
      <sz val="10"/>
      <name val="Arial"/>
      <family val="2"/>
    </font>
    <font>
      <sz val="10"/>
      <name val="Helv"/>
    </font>
    <font>
      <sz val="10"/>
      <color indexed="9"/>
      <name val="Arial"/>
      <family val="2"/>
    </font>
    <font>
      <sz val="10"/>
      <color indexed="8"/>
      <name val="Arial"/>
      <family val="2"/>
    </font>
    <font>
      <sz val="11"/>
      <color indexed="8"/>
      <name val="ＭＳ Ｐゴシック"/>
      <family val="3"/>
      <charset val="128"/>
    </font>
    <font>
      <sz val="11"/>
      <color indexed="9"/>
      <name val="ＭＳ Ｐゴシック"/>
      <family val="3"/>
      <charset val="128"/>
    </font>
    <font>
      <sz val="11"/>
      <color indexed="10"/>
      <name val="Calibri"/>
      <family val="2"/>
    </font>
    <font>
      <sz val="11"/>
      <color indexed="20"/>
      <name val="Calibri"/>
      <family val="2"/>
    </font>
    <font>
      <sz val="10"/>
      <color indexed="20"/>
      <name val="Arial"/>
      <family val="2"/>
    </font>
    <font>
      <sz val="11"/>
      <color indexed="17"/>
      <name val="Calibri"/>
      <family val="2"/>
    </font>
    <font>
      <b/>
      <sz val="14"/>
      <name val="Arial"/>
      <family val="2"/>
    </font>
    <font>
      <b/>
      <i/>
      <sz val="14"/>
      <name val="Arial"/>
      <family val="2"/>
    </font>
    <font>
      <b/>
      <sz val="12"/>
      <name val="Arial"/>
      <family val="2"/>
    </font>
    <font>
      <b/>
      <sz val="24"/>
      <name val="Arial Narrow"/>
      <family val="2"/>
    </font>
    <font>
      <b/>
      <i/>
      <sz val="12"/>
      <name val="Arial"/>
      <family val="2"/>
    </font>
    <font>
      <i/>
      <sz val="12"/>
      <name val="Arial"/>
      <family val="2"/>
    </font>
    <font>
      <sz val="12"/>
      <name val="Arial"/>
      <family val="2"/>
    </font>
    <font>
      <sz val="9"/>
      <color indexed="18"/>
      <name val="Arial"/>
      <family val="2"/>
    </font>
    <font>
      <i/>
      <sz val="10"/>
      <color indexed="18"/>
      <name val="Arial"/>
      <family val="2"/>
    </font>
    <font>
      <sz val="10"/>
      <color indexed="18"/>
      <name val="Arial"/>
      <family val="2"/>
    </font>
    <font>
      <sz val="8"/>
      <color indexed="18"/>
      <name val="Arial"/>
      <family val="2"/>
    </font>
    <font>
      <i/>
      <sz val="9"/>
      <color indexed="18"/>
      <name val="Arial"/>
      <family val="2"/>
    </font>
    <font>
      <b/>
      <sz val="11"/>
      <color indexed="52"/>
      <name val="Calibri"/>
      <family val="2"/>
    </font>
    <font>
      <b/>
      <sz val="10"/>
      <color indexed="52"/>
      <name val="Arial"/>
      <family val="2"/>
    </font>
    <font>
      <b/>
      <sz val="11"/>
      <color indexed="9"/>
      <name val="Calibri"/>
      <family val="2"/>
    </font>
    <font>
      <sz val="11"/>
      <color indexed="52"/>
      <name val="Calibri"/>
      <family val="2"/>
    </font>
    <font>
      <b/>
      <sz val="10"/>
      <color indexed="0"/>
      <name val="Arial"/>
      <family val="2"/>
    </font>
    <font>
      <b/>
      <sz val="11"/>
      <color indexed="56"/>
      <name val="Calibri"/>
      <family val="2"/>
    </font>
    <font>
      <sz val="11"/>
      <color indexed="62"/>
      <name val="Calibri"/>
      <family val="2"/>
    </font>
    <font>
      <sz val="12"/>
      <name val="Times New Roman"/>
      <family val="1"/>
    </font>
    <font>
      <i/>
      <sz val="11"/>
      <color indexed="23"/>
      <name val="Calibri"/>
      <family val="2"/>
    </font>
    <font>
      <i/>
      <sz val="10"/>
      <color indexed="23"/>
      <name val="Arial"/>
      <family val="2"/>
    </font>
    <font>
      <sz val="18"/>
      <name val="Arial"/>
      <family val="2"/>
    </font>
    <font>
      <sz val="18"/>
      <name val="Times New Roman"/>
      <family val="1"/>
    </font>
    <font>
      <sz val="8"/>
      <name val="Times New Roman"/>
      <family val="1"/>
    </font>
    <font>
      <i/>
      <sz val="12"/>
      <name val="Times New Roman"/>
      <family val="1"/>
    </font>
    <font>
      <sz val="10"/>
      <color indexed="0"/>
      <name val="Arial"/>
      <family val="2"/>
    </font>
    <font>
      <sz val="10"/>
      <color indexed="17"/>
      <name val="Arial"/>
      <family val="2"/>
    </font>
    <font>
      <b/>
      <sz val="15"/>
      <color indexed="56"/>
      <name val="Calibri"/>
      <family val="2"/>
    </font>
    <font>
      <b/>
      <sz val="18"/>
      <name val="Arial"/>
      <family val="2"/>
    </font>
    <font>
      <b/>
      <sz val="10"/>
      <color indexed="24"/>
      <name val="Arial"/>
      <family val="2"/>
    </font>
    <font>
      <b/>
      <sz val="13"/>
      <color indexed="56"/>
      <name val="Calibri"/>
      <family val="2"/>
    </font>
    <font>
      <b/>
      <sz val="12"/>
      <name val="Courier"/>
      <family val="3"/>
    </font>
    <font>
      <u/>
      <sz val="10"/>
      <color indexed="24"/>
      <name val="Arial"/>
      <family val="2"/>
    </font>
    <font>
      <b/>
      <sz val="11"/>
      <color indexed="56"/>
      <name val="Arial"/>
      <family val="2"/>
    </font>
    <font>
      <b/>
      <sz val="1"/>
      <color indexed="8"/>
      <name val="Courier"/>
      <family val="3"/>
    </font>
    <font>
      <sz val="10"/>
      <color indexed="62"/>
      <name val="Arial"/>
      <family val="2"/>
    </font>
    <font>
      <sz val="10"/>
      <color indexed="52"/>
      <name val="Arial"/>
      <family val="2"/>
    </font>
    <font>
      <sz val="11"/>
      <color indexed="60"/>
      <name val="Calibri"/>
      <family val="2"/>
    </font>
    <font>
      <sz val="10"/>
      <color indexed="60"/>
      <name val="Arial"/>
      <family val="2"/>
    </font>
    <font>
      <b/>
      <sz val="11"/>
      <color indexed="63"/>
      <name val="Calibri"/>
      <family val="2"/>
    </font>
    <font>
      <b/>
      <sz val="10"/>
      <color indexed="63"/>
      <name val="Arial"/>
      <family val="2"/>
    </font>
    <font>
      <sz val="10"/>
      <name val="MS Sans Serif"/>
      <family val="2"/>
    </font>
    <font>
      <b/>
      <sz val="10"/>
      <name val="MS Sans Serif"/>
      <family val="2"/>
    </font>
    <font>
      <sz val="9"/>
      <color indexed="8"/>
      <name val="Arial"/>
      <family val="2"/>
    </font>
    <font>
      <b/>
      <i/>
      <sz val="11"/>
      <name val="Arial"/>
      <family val="2"/>
    </font>
    <font>
      <b/>
      <sz val="11"/>
      <color indexed="8"/>
      <name val="Arial"/>
      <family val="2"/>
    </font>
    <font>
      <i/>
      <sz val="11"/>
      <name val="Arial"/>
      <family val="2"/>
    </font>
    <font>
      <b/>
      <sz val="12"/>
      <color indexed="8"/>
      <name val="Times New Roman"/>
      <family val="1"/>
    </font>
    <font>
      <b/>
      <sz val="10"/>
      <color indexed="8"/>
      <name val="Times New Roman"/>
      <family val="1"/>
    </font>
    <font>
      <b/>
      <i/>
      <sz val="10"/>
      <color indexed="8"/>
      <name val="Times New Roman"/>
      <family val="1"/>
    </font>
    <font>
      <b/>
      <sz val="18"/>
      <color indexed="56"/>
      <name val="Cambria"/>
      <family val="2"/>
    </font>
    <font>
      <sz val="10"/>
      <color indexed="24"/>
      <name val="Arial"/>
      <family val="2"/>
    </font>
    <font>
      <sz val="10"/>
      <color indexed="12"/>
      <name val="Times New Roman"/>
      <family val="1"/>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9"/>
      <name val="Calibri"/>
      <family val="2"/>
    </font>
    <font>
      <sz val="10"/>
      <name val="Calibri"/>
      <family val="2"/>
    </font>
    <font>
      <b/>
      <sz val="10"/>
      <name val="Calibri"/>
      <family val="2"/>
    </font>
    <font>
      <b/>
      <sz val="11"/>
      <name val="Calibri"/>
      <family val="2"/>
    </font>
    <font>
      <sz val="11"/>
      <name val="Calibri"/>
      <family val="2"/>
    </font>
    <font>
      <b/>
      <sz val="9"/>
      <name val="Calibri"/>
      <family val="2"/>
    </font>
    <font>
      <u/>
      <sz val="11"/>
      <name val="Calibri"/>
      <family val="2"/>
    </font>
    <font>
      <sz val="9"/>
      <color indexed="81"/>
      <name val="Tahoma"/>
      <family val="2"/>
    </font>
    <font>
      <b/>
      <sz val="9"/>
      <color indexed="81"/>
      <name val="Tahoma"/>
      <family val="2"/>
    </font>
    <font>
      <sz val="11"/>
      <color theme="1"/>
      <name val="Calibri"/>
      <family val="2"/>
      <scheme val="minor"/>
    </font>
    <font>
      <sz val="11"/>
      <color theme="1"/>
      <name val="Times New Roman"/>
      <family val="2"/>
    </font>
    <font>
      <sz val="10"/>
      <color theme="1"/>
      <name val="Arial"/>
      <family val="2"/>
    </font>
    <font>
      <b/>
      <sz val="15"/>
      <color theme="3"/>
      <name val="Calibri"/>
      <family val="2"/>
      <scheme val="minor"/>
    </font>
    <font>
      <u/>
      <sz val="11"/>
      <color theme="10"/>
      <name val="Calibri"/>
      <family val="2"/>
      <scheme val="minor"/>
    </font>
    <font>
      <u/>
      <sz val="10"/>
      <color theme="10"/>
      <name val="Arial"/>
      <family val="2"/>
    </font>
    <font>
      <sz val="12"/>
      <color theme="1"/>
      <name val="Calibri"/>
      <family val="2"/>
      <scheme val="minor"/>
    </font>
    <font>
      <b/>
      <sz val="18"/>
      <color theme="3"/>
      <name val="Cambria"/>
      <family val="2"/>
      <scheme val="major"/>
    </font>
    <font>
      <sz val="10"/>
      <color rgb="FFFF0000"/>
      <name val="Calibri"/>
      <family val="2"/>
    </font>
    <font>
      <i/>
      <sz val="12"/>
      <color theme="1"/>
      <name val="Calibri"/>
      <family val="2"/>
    </font>
    <font>
      <sz val="10"/>
      <color theme="1"/>
      <name val="Arial"/>
      <family val="2"/>
      <charset val="204"/>
    </font>
    <font>
      <b/>
      <sz val="10"/>
      <color theme="1"/>
      <name val="Arial"/>
      <family val="2"/>
      <charset val="204"/>
    </font>
    <font>
      <b/>
      <sz val="12"/>
      <color theme="0"/>
      <name val="Calibri"/>
      <family val="2"/>
      <charset val="204"/>
    </font>
    <font>
      <b/>
      <sz val="12"/>
      <color rgb="FF075254"/>
      <name val="Times New Roman"/>
      <family val="1"/>
      <charset val="204"/>
    </font>
    <font>
      <b/>
      <sz val="12"/>
      <color rgb="FF000000"/>
      <name val="Times New Roman"/>
      <family val="1"/>
      <charset val="204"/>
    </font>
    <font>
      <sz val="12"/>
      <color rgb="FF000000"/>
      <name val="Times New Roman"/>
      <family val="1"/>
      <charset val="204"/>
    </font>
    <font>
      <sz val="11"/>
      <color rgb="FF000000"/>
      <name val="Times New Roman"/>
      <family val="1"/>
      <charset val="204"/>
    </font>
    <font>
      <b/>
      <sz val="12"/>
      <color theme="0"/>
      <name val="Calibri"/>
      <family val="2"/>
    </font>
    <font>
      <b/>
      <sz val="8"/>
      <color theme="1"/>
      <name val="Arial"/>
      <family val="2"/>
      <charset val="204"/>
    </font>
    <font>
      <b/>
      <sz val="10"/>
      <color theme="3" tint="0.39997558519241921"/>
      <name val="Calibri"/>
      <family val="2"/>
    </font>
    <font>
      <b/>
      <sz val="12"/>
      <name val="Calibri"/>
      <family val="2"/>
    </font>
    <font>
      <sz val="12"/>
      <color rgb="FFFF0000"/>
      <name val="Calibri"/>
      <family val="2"/>
    </font>
    <font>
      <sz val="12"/>
      <name val="Calibri"/>
      <family val="2"/>
    </font>
    <font>
      <b/>
      <sz val="12"/>
      <color rgb="FF0070C0"/>
      <name val="Arial"/>
      <family val="2"/>
    </font>
    <font>
      <sz val="12"/>
      <color rgb="FF0070C0"/>
      <name val="Arial"/>
      <family val="2"/>
    </font>
    <font>
      <b/>
      <sz val="12"/>
      <color rgb="FFFF0000"/>
      <name val="Arial"/>
      <family val="2"/>
    </font>
  </fonts>
  <fills count="58">
    <fill>
      <patternFill patternType="none"/>
    </fill>
    <fill>
      <patternFill patternType="gray125"/>
    </fill>
    <fill>
      <patternFill patternType="gray0625">
        <fgColor indexed="22"/>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47"/>
        <bgColor indexed="47"/>
      </patternFill>
    </fill>
    <fill>
      <patternFill patternType="solid">
        <fgColor indexed="44"/>
        <bgColor indexed="44"/>
      </patternFill>
    </fill>
    <fill>
      <patternFill patternType="solid">
        <fgColor indexed="27"/>
        <bgColor indexed="27"/>
      </patternFill>
    </fill>
    <fill>
      <patternFill patternType="solid">
        <fgColor indexed="10"/>
      </patternFill>
    </fill>
    <fill>
      <patternFill patternType="solid">
        <fgColor indexed="22"/>
        <bgColor indexed="22"/>
      </patternFill>
    </fill>
    <fill>
      <patternFill patternType="solid">
        <fgColor indexed="55"/>
        <bgColor indexed="55"/>
      </patternFill>
    </fill>
    <fill>
      <patternFill patternType="solid">
        <fgColor indexed="57"/>
      </patternFill>
    </fill>
    <fill>
      <patternFill patternType="solid">
        <fgColor indexed="45"/>
        <bgColor indexed="45"/>
      </patternFill>
    </fill>
    <fill>
      <patternFill patternType="solid">
        <fgColor indexed="53"/>
      </patternFill>
    </fill>
    <fill>
      <patternFill patternType="solid">
        <fgColor indexed="26"/>
        <bgColor indexed="26"/>
      </patternFill>
    </fill>
    <fill>
      <patternFill patternType="solid">
        <fgColor indexed="43"/>
        <bgColor indexed="4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patternFill>
    </fill>
    <fill>
      <patternFill patternType="lightUp">
        <fgColor indexed="9"/>
        <bgColor indexed="55"/>
      </patternFill>
    </fill>
    <fill>
      <patternFill patternType="lightUp">
        <fgColor indexed="9"/>
        <bgColor indexed="53"/>
      </patternFill>
    </fill>
    <fill>
      <patternFill patternType="lightUp">
        <fgColor indexed="9"/>
        <bgColor indexed="22"/>
      </patternFill>
    </fill>
    <fill>
      <patternFill patternType="solid">
        <fgColor indexed="9"/>
        <bgColor indexed="9"/>
      </patternFill>
    </fill>
    <fill>
      <patternFill patternType="solid">
        <fgColor indexed="43"/>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FFFCC"/>
      </patternFill>
    </fill>
    <fill>
      <patternFill patternType="solid">
        <fgColor theme="0" tint="-0.14999847407452621"/>
        <bgColor indexed="64"/>
      </patternFill>
    </fill>
    <fill>
      <patternFill patternType="solid">
        <fgColor rgb="FFD8E6E6"/>
        <bgColor rgb="FFD8E6E6"/>
      </patternFill>
    </fill>
    <fill>
      <patternFill patternType="solid">
        <fgColor rgb="FF008080"/>
        <bgColor rgb="FF008080"/>
      </patternFill>
    </fill>
    <fill>
      <patternFill patternType="solid">
        <fgColor theme="0"/>
        <bgColor indexed="64"/>
      </patternFill>
    </fill>
    <fill>
      <patternFill patternType="solid">
        <fgColor rgb="FF9AA7A7"/>
        <bgColor rgb="FF9AA7A7"/>
      </patternFill>
    </fill>
    <fill>
      <patternFill patternType="solid">
        <fgColor theme="3" tint="0.79998168889431442"/>
        <bgColor indexed="64"/>
      </patternFill>
    </fill>
    <fill>
      <patternFill patternType="solid">
        <fgColor theme="0" tint="-0.249977111117893"/>
        <bgColor rgb="FFD8E6E6"/>
      </patternFill>
    </fill>
  </fills>
  <borders count="57">
    <border>
      <left/>
      <right/>
      <top/>
      <bottom/>
      <diagonal/>
    </border>
    <border>
      <left style="double">
        <color indexed="8"/>
      </left>
      <right style="thin">
        <color indexed="8"/>
      </right>
      <top/>
      <bottom/>
      <diagonal/>
    </border>
    <border>
      <left/>
      <right/>
      <top style="double">
        <color indexed="64"/>
      </top>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right/>
      <top/>
      <bottom style="thin">
        <color indexed="64"/>
      </bottom>
      <diagonal/>
    </border>
    <border>
      <left/>
      <right/>
      <top style="thin">
        <color indexed="62"/>
      </top>
      <bottom style="double">
        <color indexed="62"/>
      </bottom>
      <diagonal/>
    </border>
    <border>
      <left/>
      <right/>
      <top style="double">
        <color indexed="9"/>
      </top>
      <bottom/>
      <diagonal/>
    </border>
    <border>
      <left style="thin">
        <color indexed="64"/>
      </left>
      <right/>
      <top style="thin">
        <color indexed="64"/>
      </top>
      <bottom style="thin">
        <color indexed="64"/>
      </bottom>
      <diagonal/>
    </border>
    <border>
      <left/>
      <right/>
      <top/>
      <bottom style="double">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diagonal/>
    </border>
    <border>
      <left style="thin">
        <color rgb="FF000000"/>
      </left>
      <right style="thin">
        <color rgb="FF000000"/>
      </right>
      <top/>
      <bottom style="thin">
        <color rgb="FF000000"/>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style="medium">
        <color rgb="FF000000"/>
      </right>
      <top/>
      <bottom/>
      <diagonal/>
    </border>
    <border>
      <left/>
      <right style="medium">
        <color rgb="FF000000"/>
      </right>
      <top/>
      <bottom style="medium">
        <color rgb="FF000000"/>
      </bottom>
      <diagonal/>
    </border>
    <border>
      <left/>
      <right style="thin">
        <color rgb="FF000000"/>
      </right>
      <top style="thin">
        <color rgb="FF000000"/>
      </top>
      <bottom style="thin">
        <color rgb="FF000000"/>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s>
  <cellStyleXfs count="1792">
    <xf numFmtId="0" fontId="0" fillId="0" borderId="0"/>
    <xf numFmtId="0" fontId="1" fillId="0" borderId="0"/>
    <xf numFmtId="0" fontId="1" fillId="0" borderId="0"/>
    <xf numFmtId="0" fontId="1" fillId="0" borderId="0"/>
    <xf numFmtId="0" fontId="1" fillId="2" borderId="0" applyNumberFormat="0" applyFont="0" applyFill="0">
      <alignment horizontal="left" vertical="center" wrapText="1"/>
    </xf>
    <xf numFmtId="0" fontId="1" fillId="2" borderId="0" applyNumberFormat="0" applyFont="0" applyFill="0">
      <alignment horizontal="left" vertical="center" wrapText="1"/>
    </xf>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3" borderId="0" applyNumberFormat="0" applyBorder="0" applyAlignment="0" applyProtection="0"/>
    <xf numFmtId="0" fontId="22" fillId="3" borderId="0" applyNumberFormat="0" applyBorder="0" applyAlignment="0" applyProtection="0"/>
    <xf numFmtId="0" fontId="4" fillId="3"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4" fillId="4" borderId="0" applyNumberFormat="0" applyBorder="0" applyAlignment="0" applyProtection="0"/>
    <xf numFmtId="0" fontId="22" fillId="4" borderId="0" applyNumberFormat="0" applyBorder="0" applyAlignment="0" applyProtection="0"/>
    <xf numFmtId="0" fontId="4" fillId="4"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107" fillId="39" borderId="0" applyNumberFormat="0" applyBorder="0" applyAlignment="0" applyProtection="0"/>
    <xf numFmtId="0" fontId="4" fillId="5" borderId="0" applyNumberFormat="0" applyBorder="0" applyAlignment="0" applyProtection="0"/>
    <xf numFmtId="0" fontId="22" fillId="5" borderId="0" applyNumberFormat="0" applyBorder="0" applyAlignment="0" applyProtection="0"/>
    <xf numFmtId="0" fontId="4" fillId="5"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107" fillId="40" borderId="0" applyNumberFormat="0" applyBorder="0" applyAlignment="0" applyProtection="0"/>
    <xf numFmtId="0" fontId="4" fillId="6" borderId="0" applyNumberFormat="0" applyBorder="0" applyAlignment="0" applyProtection="0"/>
    <xf numFmtId="0" fontId="22" fillId="6" borderId="0" applyNumberFormat="0" applyBorder="0" applyAlignment="0" applyProtection="0"/>
    <xf numFmtId="0" fontId="4" fillId="6"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107" fillId="41" borderId="0" applyNumberFormat="0" applyBorder="0" applyAlignment="0" applyProtection="0"/>
    <xf numFmtId="0" fontId="4" fillId="7" borderId="0" applyNumberFormat="0" applyBorder="0" applyAlignment="0" applyProtection="0"/>
    <xf numFmtId="0" fontId="22" fillId="7" borderId="0" applyNumberFormat="0" applyBorder="0" applyAlignment="0" applyProtection="0"/>
    <xf numFmtId="0" fontId="4" fillId="7"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107" fillId="42" borderId="0" applyNumberFormat="0" applyBorder="0" applyAlignment="0" applyProtection="0"/>
    <xf numFmtId="0" fontId="4" fillId="8" borderId="0" applyNumberFormat="0" applyBorder="0" applyAlignment="0" applyProtection="0"/>
    <xf numFmtId="0" fontId="22" fillId="8" borderId="0" applyNumberFormat="0" applyBorder="0" applyAlignment="0" applyProtection="0"/>
    <xf numFmtId="0" fontId="4" fillId="8"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107" fillId="4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23" fillId="3" borderId="0" applyNumberFormat="0" applyBorder="0" applyAlignment="0" applyProtection="0">
      <alignment vertical="center"/>
    </xf>
    <xf numFmtId="0" fontId="23" fillId="4" borderId="0" applyNumberFormat="0" applyBorder="0" applyAlignment="0" applyProtection="0">
      <alignment vertical="center"/>
    </xf>
    <xf numFmtId="0" fontId="23" fillId="5" borderId="0" applyNumberFormat="0" applyBorder="0" applyAlignment="0" applyProtection="0">
      <alignment vertical="center"/>
    </xf>
    <xf numFmtId="0" fontId="23" fillId="6" borderId="0" applyNumberFormat="0" applyBorder="0" applyAlignment="0" applyProtection="0">
      <alignment vertical="center"/>
    </xf>
    <xf numFmtId="0" fontId="23" fillId="7" borderId="0" applyNumberFormat="0" applyBorder="0" applyAlignment="0" applyProtection="0">
      <alignment vertical="center"/>
    </xf>
    <xf numFmtId="0" fontId="23" fillId="8" borderId="0" applyNumberFormat="0" applyBorder="0" applyAlignment="0" applyProtection="0">
      <alignment vertical="center"/>
    </xf>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22" fillId="9" borderId="0" applyNumberFormat="0" applyBorder="0" applyAlignment="0" applyProtection="0"/>
    <xf numFmtId="0" fontId="4" fillId="9"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107" fillId="44" borderId="0" applyNumberFormat="0" applyBorder="0" applyAlignment="0" applyProtection="0"/>
    <xf numFmtId="0" fontId="4" fillId="10" borderId="0" applyNumberFormat="0" applyBorder="0" applyAlignment="0" applyProtection="0"/>
    <xf numFmtId="0" fontId="22" fillId="10" borderId="0" applyNumberFormat="0" applyBorder="0" applyAlignment="0" applyProtection="0"/>
    <xf numFmtId="0" fontId="4" fillId="10"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107" fillId="45" borderId="0" applyNumberFormat="0" applyBorder="0" applyAlignment="0" applyProtection="0"/>
    <xf numFmtId="0" fontId="4" fillId="11" borderId="0" applyNumberFormat="0" applyBorder="0" applyAlignment="0" applyProtection="0"/>
    <xf numFmtId="0" fontId="22" fillId="11" borderId="0" applyNumberFormat="0" applyBorder="0" applyAlignment="0" applyProtection="0"/>
    <xf numFmtId="0" fontId="4" fillId="11"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107" fillId="46" borderId="0" applyNumberFormat="0" applyBorder="0" applyAlignment="0" applyProtection="0"/>
    <xf numFmtId="0" fontId="4" fillId="6" borderId="0" applyNumberFormat="0" applyBorder="0" applyAlignment="0" applyProtection="0"/>
    <xf numFmtId="0" fontId="22" fillId="6" borderId="0" applyNumberFormat="0" applyBorder="0" applyAlignment="0" applyProtection="0"/>
    <xf numFmtId="0" fontId="4" fillId="6"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4" fillId="9" borderId="0" applyNumberFormat="0" applyBorder="0" applyAlignment="0" applyProtection="0"/>
    <xf numFmtId="0" fontId="22" fillId="9" borderId="0" applyNumberFormat="0" applyBorder="0" applyAlignment="0" applyProtection="0"/>
    <xf numFmtId="0" fontId="4" fillId="9"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107" fillId="48" borderId="0" applyNumberFormat="0" applyBorder="0" applyAlignment="0" applyProtection="0"/>
    <xf numFmtId="0" fontId="4" fillId="12" borderId="0" applyNumberFormat="0" applyBorder="0" applyAlignment="0" applyProtection="0"/>
    <xf numFmtId="0" fontId="22" fillId="12" borderId="0" applyNumberFormat="0" applyBorder="0" applyAlignment="0" applyProtection="0"/>
    <xf numFmtId="0" fontId="4" fillId="12"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107" fillId="4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23" fillId="9" borderId="0" applyNumberFormat="0" applyBorder="0" applyAlignment="0" applyProtection="0">
      <alignment vertical="center"/>
    </xf>
    <xf numFmtId="0" fontId="23" fillId="10" borderId="0" applyNumberFormat="0" applyBorder="0" applyAlignment="0" applyProtection="0">
      <alignment vertical="center"/>
    </xf>
    <xf numFmtId="0" fontId="23" fillId="11" borderId="0" applyNumberFormat="0" applyBorder="0" applyAlignment="0" applyProtection="0">
      <alignment vertical="center"/>
    </xf>
    <xf numFmtId="0" fontId="23" fillId="6" borderId="0" applyNumberFormat="0" applyBorder="0" applyAlignment="0" applyProtection="0">
      <alignment vertical="center"/>
    </xf>
    <xf numFmtId="0" fontId="23" fillId="9" borderId="0" applyNumberFormat="0" applyBorder="0" applyAlignment="0" applyProtection="0">
      <alignment vertical="center"/>
    </xf>
    <xf numFmtId="0" fontId="23" fillId="12" borderId="0" applyNumberFormat="0" applyBorder="0" applyAlignment="0" applyProtection="0">
      <alignment vertical="center"/>
    </xf>
    <xf numFmtId="0" fontId="5" fillId="13" borderId="0" applyNumberFormat="0" applyBorder="0" applyAlignment="0" applyProtection="0"/>
    <xf numFmtId="0" fontId="5" fillId="13"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3" borderId="0" applyNumberFormat="0" applyBorder="0" applyAlignment="0" applyProtection="0"/>
    <xf numFmtId="0" fontId="21" fillId="13" borderId="0" applyNumberFormat="0" applyBorder="0" applyAlignment="0" applyProtection="0"/>
    <xf numFmtId="0" fontId="5" fillId="10" borderId="0" applyNumberFormat="0" applyBorder="0" applyAlignment="0" applyProtection="0"/>
    <xf numFmtId="0" fontId="21" fillId="10" borderId="0" applyNumberFormat="0" applyBorder="0" applyAlignment="0" applyProtection="0"/>
    <xf numFmtId="0" fontId="5" fillId="11" borderId="0" applyNumberFormat="0" applyBorder="0" applyAlignment="0" applyProtection="0"/>
    <xf numFmtId="0" fontId="21" fillId="11" borderId="0" applyNumberFormat="0" applyBorder="0" applyAlignment="0" applyProtection="0"/>
    <xf numFmtId="0" fontId="5" fillId="14" borderId="0" applyNumberFormat="0" applyBorder="0" applyAlignment="0" applyProtection="0"/>
    <xf numFmtId="0" fontId="21" fillId="14" borderId="0" applyNumberFormat="0" applyBorder="0" applyAlignment="0" applyProtection="0"/>
    <xf numFmtId="0" fontId="5" fillId="15" borderId="0" applyNumberFormat="0" applyBorder="0" applyAlignment="0" applyProtection="0"/>
    <xf numFmtId="0" fontId="21" fillId="15" borderId="0" applyNumberFormat="0" applyBorder="0" applyAlignment="0" applyProtection="0"/>
    <xf numFmtId="0" fontId="5" fillId="16" borderId="0" applyNumberFormat="0" applyBorder="0" applyAlignment="0" applyProtection="0"/>
    <xf numFmtId="0" fontId="21" fillId="16" borderId="0" applyNumberFormat="0" applyBorder="0" applyAlignment="0" applyProtection="0"/>
    <xf numFmtId="0" fontId="5" fillId="13"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3"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24" fillId="13" borderId="0" applyNumberFormat="0" applyBorder="0" applyAlignment="0" applyProtection="0">
      <alignment vertical="center"/>
    </xf>
    <xf numFmtId="0" fontId="24" fillId="10" borderId="0" applyNumberFormat="0" applyBorder="0" applyAlignment="0" applyProtection="0">
      <alignment vertical="center"/>
    </xf>
    <xf numFmtId="0" fontId="24" fillId="11" borderId="0" applyNumberFormat="0" applyBorder="0" applyAlignment="0" applyProtection="0">
      <alignment vertical="center"/>
    </xf>
    <xf numFmtId="0" fontId="24" fillId="14" borderId="0" applyNumberFormat="0" applyBorder="0" applyAlignment="0" applyProtection="0">
      <alignment vertical="center"/>
    </xf>
    <xf numFmtId="0" fontId="24" fillId="15" borderId="0" applyNumberFormat="0" applyBorder="0" applyAlignment="0" applyProtection="0">
      <alignment vertical="center"/>
    </xf>
    <xf numFmtId="0" fontId="24" fillId="16" borderId="0" applyNumberFormat="0" applyBorder="0" applyAlignment="0" applyProtection="0">
      <alignment vertical="center"/>
    </xf>
    <xf numFmtId="0" fontId="4" fillId="18" borderId="0" applyNumberFormat="0" applyBorder="0" applyAlignment="0" applyProtection="0"/>
    <xf numFmtId="0" fontId="4" fillId="19" borderId="0" applyNumberFormat="0" applyBorder="0" applyAlignment="0" applyProtection="0"/>
    <xf numFmtId="0" fontId="5" fillId="20" borderId="0" applyNumberFormat="0" applyBorder="0" applyAlignment="0" applyProtection="0"/>
    <xf numFmtId="0" fontId="21" fillId="17" borderId="0" applyNumberFormat="0" applyBorder="0" applyAlignment="0" applyProtection="0"/>
    <xf numFmtId="0" fontId="4" fillId="18" borderId="0" applyNumberFormat="0" applyBorder="0" applyAlignment="0" applyProtection="0"/>
    <xf numFmtId="0" fontId="4" fillId="22" borderId="0" applyNumberFormat="0" applyBorder="0" applyAlignment="0" applyProtection="0"/>
    <xf numFmtId="0" fontId="5" fillId="23" borderId="0" applyNumberFormat="0" applyBorder="0" applyAlignment="0" applyProtection="0"/>
    <xf numFmtId="0" fontId="21" fillId="21"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5" fillId="22" borderId="0" applyNumberFormat="0" applyBorder="0" applyAlignment="0" applyProtection="0"/>
    <xf numFmtId="0" fontId="21" fillId="24" borderId="0" applyNumberFormat="0" applyBorder="0" applyAlignment="0" applyProtection="0"/>
    <xf numFmtId="0" fontId="4" fillId="18" borderId="0" applyNumberFormat="0" applyBorder="0" applyAlignment="0" applyProtection="0"/>
    <xf numFmtId="0" fontId="4" fillId="22" borderId="0" applyNumberFormat="0" applyBorder="0" applyAlignment="0" applyProtection="0"/>
    <xf numFmtId="0" fontId="5" fillId="25" borderId="0" applyNumberFormat="0" applyBorder="0" applyAlignment="0" applyProtection="0"/>
    <xf numFmtId="0" fontId="21" fillId="14" borderId="0" applyNumberFormat="0" applyBorder="0" applyAlignment="0" applyProtection="0"/>
    <xf numFmtId="0" fontId="4" fillId="18" borderId="0" applyNumberFormat="0" applyBorder="0" applyAlignment="0" applyProtection="0"/>
    <xf numFmtId="0" fontId="4" fillId="20" borderId="0" applyNumberFormat="0" applyBorder="0" applyAlignment="0" applyProtection="0"/>
    <xf numFmtId="0" fontId="5" fillId="20" borderId="0" applyNumberFormat="0" applyBorder="0" applyAlignment="0" applyProtection="0"/>
    <xf numFmtId="0" fontId="21" fillId="15" borderId="0" applyNumberFormat="0" applyBorder="0" applyAlignment="0" applyProtection="0"/>
    <xf numFmtId="0" fontId="4" fillId="18" borderId="0" applyNumberFormat="0" applyBorder="0" applyAlignment="0" applyProtection="0"/>
    <xf numFmtId="0" fontId="4" fillId="27" borderId="0" applyNumberFormat="0" applyBorder="0" applyAlignment="0" applyProtection="0"/>
    <xf numFmtId="0" fontId="5" fillId="28" borderId="0" applyNumberFormat="0" applyBorder="0" applyAlignment="0" applyProtection="0"/>
    <xf numFmtId="0" fontId="21" fillId="26" borderId="0" applyNumberFormat="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4" borderId="0" applyNumberFormat="0" applyBorder="0" applyAlignment="0" applyProtection="0"/>
    <xf numFmtId="0" fontId="27" fillId="4" borderId="0" applyNumberFormat="0" applyBorder="0" applyAlignment="0" applyProtection="0"/>
    <xf numFmtId="0" fontId="6" fillId="2" borderId="1" applyNumberFormat="0" applyFont="0" applyFill="0" applyAlignment="0">
      <alignment horizontal="left" wrapText="1"/>
    </xf>
    <xf numFmtId="0" fontId="6" fillId="2" borderId="1" applyNumberFormat="0" applyFont="0" applyFill="0" applyAlignment="0">
      <alignment horizontal="left" wrapText="1"/>
    </xf>
    <xf numFmtId="0" fontId="28" fillId="5" borderId="0" applyNumberFormat="0" applyBorder="0" applyAlignment="0" applyProtection="0"/>
    <xf numFmtId="166" fontId="3" fillId="0" borderId="0" applyFill="0"/>
    <xf numFmtId="166" fontId="3" fillId="0" borderId="0" applyFill="0"/>
    <xf numFmtId="166" fontId="13" fillId="0" borderId="0">
      <alignment horizontal="center"/>
    </xf>
    <xf numFmtId="166" fontId="13" fillId="0" borderId="0">
      <alignment horizontal="center"/>
    </xf>
    <xf numFmtId="0" fontId="13" fillId="0" borderId="0" applyFill="0">
      <alignment horizontal="center"/>
    </xf>
    <xf numFmtId="0" fontId="13" fillId="0" borderId="0" applyFill="0">
      <alignment horizontal="center"/>
    </xf>
    <xf numFmtId="166" fontId="29" fillId="0" borderId="2" applyFill="0"/>
    <xf numFmtId="0" fontId="1" fillId="0" borderId="0" applyFont="0" applyAlignment="0"/>
    <xf numFmtId="0" fontId="1" fillId="0" borderId="0" applyFont="0" applyAlignment="0"/>
    <xf numFmtId="0" fontId="1" fillId="0" borderId="0" applyFont="0" applyAlignment="0"/>
    <xf numFmtId="0" fontId="1" fillId="0" borderId="0" applyFont="0" applyAlignment="0"/>
    <xf numFmtId="0" fontId="1" fillId="0" borderId="0" applyFont="0" applyAlignment="0"/>
    <xf numFmtId="0" fontId="1" fillId="0" borderId="0" applyFont="0" applyAlignment="0"/>
    <xf numFmtId="0" fontId="30" fillId="0" borderId="0" applyFill="0">
      <alignment vertical="top"/>
    </xf>
    <xf numFmtId="0" fontId="29" fillId="0" borderId="0" applyFill="0">
      <alignment horizontal="left" vertical="top"/>
    </xf>
    <xf numFmtId="166" fontId="31" fillId="0" borderId="3" applyFill="0"/>
    <xf numFmtId="166" fontId="31" fillId="0" borderId="3" applyFill="0"/>
    <xf numFmtId="166" fontId="31" fillId="0" borderId="3" applyFill="0"/>
    <xf numFmtId="0" fontId="1" fillId="0" borderId="0" applyNumberFormat="0" applyFont="0" applyAlignment="0"/>
    <xf numFmtId="0" fontId="1" fillId="0" borderId="0" applyNumberFormat="0" applyFont="0" applyAlignment="0"/>
    <xf numFmtId="0" fontId="1" fillId="0" borderId="0" applyNumberFormat="0" applyFont="0" applyAlignment="0"/>
    <xf numFmtId="0" fontId="1" fillId="0" borderId="0" applyNumberFormat="0" applyFont="0" applyAlignment="0"/>
    <xf numFmtId="0" fontId="1" fillId="0" borderId="0" applyNumberFormat="0" applyFont="0" applyAlignment="0"/>
    <xf numFmtId="0" fontId="1" fillId="0" borderId="0" applyNumberFormat="0" applyFont="0" applyAlignment="0"/>
    <xf numFmtId="0" fontId="30" fillId="0" borderId="0" applyFill="0">
      <alignment wrapText="1"/>
    </xf>
    <xf numFmtId="0" fontId="29" fillId="0" borderId="0" applyFill="0">
      <alignment horizontal="left" vertical="top" wrapText="1"/>
    </xf>
    <xf numFmtId="166" fontId="12" fillId="0" borderId="0" applyFill="0"/>
    <xf numFmtId="0" fontId="32" fillId="0" borderId="0" applyNumberFormat="0" applyFont="0" applyAlignment="0">
      <alignment horizontal="center"/>
    </xf>
    <xf numFmtId="0" fontId="33" fillId="0" borderId="0" applyFill="0">
      <alignment vertical="top" wrapText="1"/>
    </xf>
    <xf numFmtId="0" fontId="31" fillId="0" borderId="0" applyFill="0">
      <alignment horizontal="left" vertical="top" wrapText="1"/>
    </xf>
    <xf numFmtId="166" fontId="1" fillId="0" borderId="0" applyFill="0"/>
    <xf numFmtId="166" fontId="1" fillId="0" borderId="0" applyFill="0"/>
    <xf numFmtId="166" fontId="1" fillId="0" borderId="0" applyFill="0"/>
    <xf numFmtId="166" fontId="1" fillId="0" borderId="0" applyFill="0"/>
    <xf numFmtId="166" fontId="1" fillId="0" borderId="0" applyFill="0"/>
    <xf numFmtId="166" fontId="1" fillId="0" borderId="0" applyFill="0"/>
    <xf numFmtId="166" fontId="1" fillId="0" borderId="0" applyFill="0"/>
    <xf numFmtId="0" fontId="32" fillId="0" borderId="0" applyNumberFormat="0" applyFont="0" applyAlignment="0">
      <alignment horizontal="center"/>
    </xf>
    <xf numFmtId="0" fontId="34" fillId="0" borderId="0" applyFill="0">
      <alignment vertical="center" wrapText="1"/>
    </xf>
    <xf numFmtId="0" fontId="35" fillId="0" borderId="0">
      <alignment horizontal="left" vertical="center" wrapText="1"/>
    </xf>
    <xf numFmtId="0" fontId="35" fillId="0" borderId="0">
      <alignment horizontal="left" vertical="center" wrapText="1"/>
    </xf>
    <xf numFmtId="166" fontId="14" fillId="0" borderId="0" applyFill="0"/>
    <xf numFmtId="166" fontId="14" fillId="0" borderId="0" applyFill="0"/>
    <xf numFmtId="0" fontId="32" fillId="0" borderId="0" applyNumberFormat="0" applyFont="0" applyAlignment="0">
      <alignment horizontal="center"/>
    </xf>
    <xf numFmtId="0" fontId="19" fillId="0" borderId="0" applyFill="0">
      <alignment horizontal="center" vertical="center" wrapText="1"/>
    </xf>
    <xf numFmtId="0" fontId="1" fillId="0" borderId="0" applyFill="0">
      <alignment horizontal="center" vertical="center" wrapText="1"/>
    </xf>
    <xf numFmtId="0" fontId="1" fillId="0" borderId="0" applyFill="0">
      <alignment horizontal="center" vertical="center" wrapText="1"/>
    </xf>
    <xf numFmtId="167" fontId="36" fillId="0" borderId="0" applyFill="0"/>
    <xf numFmtId="0" fontId="32" fillId="0" borderId="0" applyNumberFormat="0" applyFont="0" applyAlignment="0">
      <alignment horizontal="center"/>
    </xf>
    <xf numFmtId="0" fontId="37" fillId="0" borderId="0" applyFill="0">
      <alignment horizontal="center" vertical="center" wrapText="1"/>
    </xf>
    <xf numFmtId="0" fontId="38" fillId="0" borderId="0" applyFill="0">
      <alignment horizontal="center" vertical="center" wrapText="1"/>
    </xf>
    <xf numFmtId="166" fontId="39" fillId="0" borderId="0" applyFill="0"/>
    <xf numFmtId="0" fontId="32" fillId="0" borderId="0" applyNumberFormat="0" applyFont="0" applyAlignment="0">
      <alignment horizontal="center"/>
    </xf>
    <xf numFmtId="0" fontId="40" fillId="0" borderId="0">
      <alignment horizontal="center" wrapText="1"/>
    </xf>
    <xf numFmtId="0" fontId="36" fillId="0" borderId="0" applyFill="0">
      <alignment horizontal="center" wrapText="1"/>
    </xf>
    <xf numFmtId="0" fontId="41" fillId="29" borderId="4" applyNumberFormat="0" applyAlignment="0" applyProtection="0"/>
    <xf numFmtId="0" fontId="41" fillId="29" borderId="4" applyNumberFormat="0" applyAlignment="0" applyProtection="0"/>
    <xf numFmtId="0" fontId="41" fillId="29" borderId="4" applyNumberFormat="0" applyAlignment="0" applyProtection="0"/>
    <xf numFmtId="0" fontId="41" fillId="29" borderId="4" applyNumberFormat="0" applyAlignment="0" applyProtection="0"/>
    <xf numFmtId="0" fontId="42" fillId="29" borderId="4" applyNumberFormat="0" applyAlignment="0" applyProtection="0"/>
    <xf numFmtId="0" fontId="41" fillId="29" borderId="4" applyNumberFormat="0" applyAlignment="0" applyProtection="0"/>
    <xf numFmtId="0" fontId="43" fillId="30" borderId="5" applyNumberFormat="0" applyAlignment="0" applyProtection="0"/>
    <xf numFmtId="0" fontId="44" fillId="0" borderId="6" applyNumberFormat="0" applyFill="0" applyAlignment="0" applyProtection="0"/>
    <xf numFmtId="0" fontId="44" fillId="0" borderId="6" applyNumberFormat="0" applyFill="0" applyAlignment="0" applyProtection="0"/>
    <xf numFmtId="0" fontId="43" fillId="30" borderId="5" applyNumberFormat="0" applyAlignment="0" applyProtection="0"/>
    <xf numFmtId="0" fontId="44" fillId="0" borderId="6" applyNumberFormat="0" applyFill="0" applyAlignment="0" applyProtection="0"/>
    <xf numFmtId="0" fontId="44" fillId="0" borderId="6" applyNumberFormat="0" applyFill="0" applyAlignment="0" applyProtection="0"/>
    <xf numFmtId="0" fontId="43" fillId="30" borderId="5" applyNumberFormat="0" applyAlignment="0" applyProtection="0"/>
    <xf numFmtId="0" fontId="17" fillId="30" borderId="5" applyNumberFormat="0" applyAlignment="0" applyProtection="0"/>
    <xf numFmtId="1" fontId="1" fillId="31" borderId="7">
      <protection locked="0"/>
    </xf>
    <xf numFmtId="1" fontId="1" fillId="31" borderId="7">
      <protection locked="0"/>
    </xf>
    <xf numFmtId="1" fontId="1" fillId="31" borderId="7">
      <protection locked="0"/>
    </xf>
    <xf numFmtId="0" fontId="5" fillId="17" borderId="0" applyNumberFormat="0" applyBorder="0" applyAlignment="0" applyProtection="0"/>
    <xf numFmtId="0" fontId="5" fillId="21" borderId="0" applyNumberFormat="0" applyBorder="0" applyAlignment="0" applyProtection="0"/>
    <xf numFmtId="0" fontId="5" fillId="2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26" borderId="0" applyNumberFormat="0" applyBorder="0" applyAlignment="0" applyProtection="0"/>
    <xf numFmtId="43"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08"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1" fillId="0" borderId="0" applyFont="0" applyFill="0" applyBorder="0" applyAlignment="0" applyProtection="0"/>
    <xf numFmtId="43"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5"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170" fontId="1" fillId="0" borderId="0" applyFont="0" applyFill="0" applyBorder="0" applyAlignment="0" applyProtection="0"/>
    <xf numFmtId="171" fontId="4" fillId="0" borderId="0" applyFont="0" applyFill="0" applyBorder="0" applyAlignment="0" applyProtection="0"/>
    <xf numFmtId="43" fontId="4"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43" fontId="107" fillId="0" borderId="0" applyFont="0" applyFill="0" applyBorder="0" applyAlignment="0" applyProtection="0"/>
    <xf numFmtId="43" fontId="4" fillId="0" borderId="0" applyFont="0" applyFill="0" applyBorder="0" applyAlignment="0" applyProtection="0"/>
    <xf numFmtId="43" fontId="107"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8" fontId="107" fillId="0" borderId="0" applyFont="0" applyFill="0" applyBorder="0" applyAlignment="0" applyProtection="0"/>
    <xf numFmtId="168" fontId="107" fillId="0" borderId="0" applyFont="0" applyFill="0" applyBorder="0" applyAlignment="0" applyProtection="0"/>
    <xf numFmtId="168" fontId="107" fillId="0" borderId="0" applyFont="0" applyFill="0" applyBorder="0" applyAlignment="0" applyProtection="0"/>
    <xf numFmtId="168" fontId="10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2" fontId="107" fillId="0" borderId="0" applyFont="0" applyFill="0" applyBorder="0" applyAlignment="0" applyProtection="0"/>
    <xf numFmtId="172" fontId="107" fillId="0" borderId="0" applyFont="0" applyFill="0" applyBorder="0" applyAlignment="0" applyProtection="0"/>
    <xf numFmtId="172" fontId="107" fillId="0" borderId="0" applyFont="0" applyFill="0" applyBorder="0" applyAlignment="0" applyProtection="0"/>
    <xf numFmtId="172" fontId="107" fillId="0" borderId="0" applyFont="0" applyFill="0" applyBorder="0" applyAlignment="0" applyProtection="0"/>
    <xf numFmtId="43" fontId="10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168" fontId="1"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1" fillId="0" borderId="0" applyFont="0" applyFill="0" applyBorder="0" applyAlignment="0" applyProtection="0"/>
    <xf numFmtId="3" fontId="1" fillId="0" borderId="0" applyFont="0" applyFill="0" applyBorder="0" applyAlignment="0" applyProtection="0">
      <alignment vertical="top"/>
    </xf>
    <xf numFmtId="0" fontId="20" fillId="0" borderId="0"/>
    <xf numFmtId="3" fontId="1" fillId="0" borderId="0" applyFont="0" applyFill="0" applyBorder="0" applyAlignment="0" applyProtection="0">
      <alignment vertical="top"/>
    </xf>
    <xf numFmtId="3" fontId="35" fillId="0" borderId="0" applyFont="0" applyFill="0" applyBorder="0" applyAlignment="0" applyProtection="0"/>
    <xf numFmtId="3" fontId="1" fillId="0" borderId="0" applyFont="0" applyFill="0" applyBorder="0" applyAlignment="0" applyProtection="0">
      <alignment vertical="top"/>
    </xf>
    <xf numFmtId="3" fontId="1" fillId="0" borderId="0" applyFont="0" applyFill="0" applyBorder="0" applyAlignment="0" applyProtection="0">
      <alignment vertical="top"/>
    </xf>
    <xf numFmtId="3" fontId="35" fillId="0" borderId="0" applyFont="0" applyFill="0" applyBorder="0" applyAlignment="0" applyProtection="0"/>
    <xf numFmtId="3" fontId="35" fillId="0" borderId="0" applyFont="0" applyFill="0" applyBorder="0" applyAlignment="0" applyProtection="0"/>
    <xf numFmtId="3" fontId="35" fillId="0" borderId="0" applyFont="0" applyFill="0" applyBorder="0" applyAlignment="0" applyProtection="0"/>
    <xf numFmtId="3" fontId="1" fillId="0" borderId="0" applyFont="0" applyFill="0" applyBorder="0" applyAlignment="0" applyProtection="0">
      <alignment vertical="top"/>
    </xf>
    <xf numFmtId="3" fontId="1" fillId="0" borderId="0" applyFont="0" applyFill="0" applyBorder="0" applyAlignment="0" applyProtection="0">
      <alignment vertical="top"/>
    </xf>
    <xf numFmtId="3" fontId="1" fillId="0" borderId="0" applyFont="0" applyFill="0" applyBorder="0" applyAlignment="0" applyProtection="0">
      <alignment vertical="top"/>
    </xf>
    <xf numFmtId="3" fontId="35" fillId="0" borderId="0" applyFont="0" applyFill="0" applyBorder="0" applyAlignment="0" applyProtection="0"/>
    <xf numFmtId="0" fontId="6" fillId="32" borderId="8" applyNumberFormat="0" applyFont="0" applyAlignment="0" applyProtection="0"/>
    <xf numFmtId="0" fontId="6" fillId="32" borderId="8"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6" fillId="32" borderId="8" applyNumberFormat="0" applyFont="0" applyAlignment="0" applyProtection="0"/>
    <xf numFmtId="0" fontId="20" fillId="0" borderId="0"/>
    <xf numFmtId="0" fontId="20"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7"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173" fontId="108" fillId="0" borderId="0" applyFont="0" applyFill="0" applyBorder="0" applyAlignment="0" applyProtection="0"/>
    <xf numFmtId="5" fontId="1" fillId="0" borderId="0" applyFont="0" applyFill="0" applyBorder="0" applyAlignment="0" applyProtection="0">
      <alignment vertical="top"/>
    </xf>
    <xf numFmtId="5" fontId="35" fillId="0" borderId="0" applyFont="0" applyFill="0" applyBorder="0" applyAlignment="0" applyProtection="0"/>
    <xf numFmtId="5" fontId="1" fillId="0" borderId="0" applyFill="0" applyBorder="0" applyAlignment="0" applyProtection="0">
      <alignment horizontal="right"/>
    </xf>
    <xf numFmtId="5" fontId="35" fillId="0" borderId="0" applyFont="0" applyFill="0" applyBorder="0" applyAlignment="0" applyProtection="0"/>
    <xf numFmtId="5" fontId="35" fillId="0" borderId="0" applyFont="0" applyFill="0" applyBorder="0" applyAlignment="0" applyProtection="0"/>
    <xf numFmtId="5" fontId="1" fillId="0" borderId="0" applyFont="0" applyFill="0" applyBorder="0" applyAlignment="0" applyProtection="0">
      <alignment vertical="top"/>
    </xf>
    <xf numFmtId="5" fontId="1" fillId="0" borderId="0" applyFont="0" applyFill="0" applyBorder="0" applyAlignment="0" applyProtection="0">
      <alignment vertical="top"/>
    </xf>
    <xf numFmtId="5" fontId="35" fillId="0" borderId="0" applyFont="0" applyFill="0" applyBorder="0" applyAlignment="0" applyProtection="0"/>
    <xf numFmtId="0" fontId="1" fillId="0" borderId="0" applyFont="0" applyFill="0" applyBorder="0" applyAlignment="0" applyProtection="0">
      <alignment vertical="top"/>
    </xf>
    <xf numFmtId="0" fontId="35" fillId="0" borderId="0" applyFont="0" applyFill="0" applyBorder="0" applyAlignment="0" applyProtection="0"/>
    <xf numFmtId="0" fontId="35" fillId="0" borderId="0" applyFont="0" applyFill="0" applyBorder="0" applyAlignment="0" applyProtection="0"/>
    <xf numFmtId="0" fontId="1" fillId="0" borderId="0" applyFont="0" applyFill="0" applyBorder="0" applyAlignment="0" applyProtection="0">
      <alignment vertical="top"/>
    </xf>
    <xf numFmtId="0" fontId="1" fillId="0" borderId="0" applyFont="0" applyFill="0" applyBorder="0" applyAlignment="0" applyProtection="0">
      <alignment vertical="top"/>
    </xf>
    <xf numFmtId="0" fontId="35" fillId="0" borderId="0" applyFont="0" applyFill="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46" fillId="0" borderId="0" applyNumberFormat="0" applyFill="0" applyBorder="0" applyAlignment="0" applyProtection="0"/>
    <xf numFmtId="0" fontId="5" fillId="17" borderId="0" applyNumberFormat="0" applyBorder="0" applyAlignment="0" applyProtection="0"/>
    <xf numFmtId="0" fontId="5" fillId="21" borderId="0" applyNumberFormat="0" applyBorder="0" applyAlignment="0" applyProtection="0"/>
    <xf numFmtId="0" fontId="5" fillId="24"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26" borderId="0" applyNumberFormat="0" applyBorder="0" applyAlignment="0" applyProtection="0"/>
    <xf numFmtId="0" fontId="47" fillId="8" borderId="4" applyNumberFormat="0" applyAlignment="0" applyProtection="0"/>
    <xf numFmtId="0" fontId="47" fillId="8" borderId="4" applyNumberFormat="0" applyAlignment="0" applyProtection="0"/>
    <xf numFmtId="0" fontId="47" fillId="8" borderId="4" applyNumberFormat="0" applyAlignment="0" applyProtection="0"/>
    <xf numFmtId="0" fontId="1" fillId="0" borderId="0"/>
    <xf numFmtId="174" fontId="1" fillId="0" borderId="0" applyFont="0" applyFill="0" applyBorder="0" applyAlignment="0" applyProtection="0"/>
    <xf numFmtId="175" fontId="1" fillId="0" borderId="0" applyFont="0" applyFill="0" applyBorder="0" applyAlignment="0" applyProtection="0"/>
    <xf numFmtId="174"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0" fontId="48" fillId="0" borderId="0"/>
    <xf numFmtId="0" fontId="48" fillId="0" borderId="0"/>
    <xf numFmtId="0" fontId="49" fillId="0" borderId="0" applyNumberFormat="0" applyFill="0" applyBorder="0" applyAlignment="0" applyProtection="0"/>
    <xf numFmtId="0" fontId="50" fillId="0" borderId="0" applyNumberFormat="0" applyFill="0" applyBorder="0" applyAlignment="0" applyProtection="0"/>
    <xf numFmtId="0" fontId="51" fillId="0" borderId="0" applyProtection="0"/>
    <xf numFmtId="0" fontId="3" fillId="0" borderId="0" applyProtection="0"/>
    <xf numFmtId="0" fontId="3" fillId="0" borderId="0" applyProtection="0"/>
    <xf numFmtId="0" fontId="3" fillId="0" borderId="0" applyProtection="0"/>
    <xf numFmtId="0" fontId="3" fillId="0" borderId="0" applyProtection="0"/>
    <xf numFmtId="0" fontId="34" fillId="0" borderId="0" applyProtection="0"/>
    <xf numFmtId="0" fontId="48" fillId="0" borderId="0" applyProtection="0"/>
    <xf numFmtId="0" fontId="52" fillId="0" borderId="0" applyProtection="0"/>
    <xf numFmtId="0" fontId="53" fillId="0" borderId="0" applyProtection="0"/>
    <xf numFmtId="0" fontId="54" fillId="0" borderId="0" applyProtection="0"/>
    <xf numFmtId="0" fontId="35" fillId="0" borderId="0" applyProtection="0"/>
    <xf numFmtId="0" fontId="35" fillId="0" borderId="0" applyProtection="0"/>
    <xf numFmtId="2" fontId="53" fillId="0" borderId="0" applyFont="0" applyFill="0" applyBorder="0" applyAlignment="0" applyProtection="0"/>
    <xf numFmtId="2" fontId="35" fillId="0" borderId="0" applyFont="0" applyFill="0" applyBorder="0" applyAlignment="0" applyProtection="0"/>
    <xf numFmtId="1" fontId="1" fillId="0" borderId="0" applyFont="0" applyFill="0" applyBorder="0" applyAlignment="0" applyProtection="0"/>
    <xf numFmtId="2" fontId="35" fillId="0" borderId="0" applyFont="0" applyFill="0" applyBorder="0" applyAlignment="0" applyProtection="0"/>
    <xf numFmtId="2" fontId="1" fillId="0" borderId="0" applyFont="0" applyFill="0" applyBorder="0" applyAlignment="0" applyProtection="0">
      <alignment vertical="top"/>
    </xf>
    <xf numFmtId="2" fontId="1" fillId="0" borderId="0" applyFont="0" applyFill="0" applyBorder="0" applyAlignment="0" applyProtection="0">
      <alignment vertical="top"/>
    </xf>
    <xf numFmtId="2" fontId="35" fillId="0" borderId="0" applyFont="0" applyFill="0" applyBorder="0" applyAlignment="0" applyProtection="0"/>
    <xf numFmtId="176" fontId="55" fillId="0" borderId="0"/>
    <xf numFmtId="177" fontId="55" fillId="0" borderId="0"/>
    <xf numFmtId="178" fontId="55" fillId="0" borderId="0"/>
    <xf numFmtId="0" fontId="28" fillId="5" borderId="0" applyNumberFormat="0" applyBorder="0" applyAlignment="0" applyProtection="0"/>
    <xf numFmtId="0" fontId="56" fillId="5" borderId="0" applyNumberFormat="0" applyBorder="0" applyAlignment="0" applyProtection="0"/>
    <xf numFmtId="0" fontId="57" fillId="0" borderId="9" applyNumberFormat="0" applyFill="0" applyAlignment="0" applyProtection="0"/>
    <xf numFmtId="0" fontId="58" fillId="36" borderId="0"/>
    <xf numFmtId="0" fontId="110" fillId="0" borderId="33" applyNumberFormat="0" applyFill="0" applyAlignment="0" applyProtection="0"/>
    <xf numFmtId="0" fontId="57" fillId="0" borderId="9" applyNumberFormat="0" applyFill="0" applyAlignment="0" applyProtection="0"/>
    <xf numFmtId="0" fontId="59" fillId="0" borderId="0" applyNumberFormat="0" applyFill="0" applyBorder="0" applyAlignment="0" applyProtection="0"/>
    <xf numFmtId="0" fontId="60" fillId="0" borderId="10" applyNumberFormat="0" applyFill="0" applyAlignment="0" applyProtection="0"/>
    <xf numFmtId="0" fontId="61" fillId="0" borderId="0" applyNumberFormat="0" applyFont="0" applyFill="0" applyAlignment="0" applyProtection="0"/>
    <xf numFmtId="0" fontId="31" fillId="36" borderId="0"/>
    <xf numFmtId="0" fontId="60" fillId="0" borderId="10" applyNumberFormat="0" applyFill="0" applyAlignment="0" applyProtection="0"/>
    <xf numFmtId="0" fontId="62" fillId="0" borderId="0" applyNumberFormat="0" applyFill="0" applyBorder="0" applyAlignment="0" applyProtection="0"/>
    <xf numFmtId="0" fontId="46" fillId="0" borderId="11" applyNumberFormat="0" applyFill="0" applyAlignment="0" applyProtection="0"/>
    <xf numFmtId="0" fontId="63" fillId="0" borderId="11" applyNumberFormat="0" applyFill="0" applyAlignment="0" applyProtection="0"/>
    <xf numFmtId="0" fontId="63" fillId="0" borderId="11" applyNumberFormat="0" applyFill="0" applyAlignment="0" applyProtection="0"/>
    <xf numFmtId="0" fontId="46" fillId="0" borderId="11" applyNumberFormat="0" applyFill="0" applyAlignment="0" applyProtection="0"/>
    <xf numFmtId="0" fontId="46" fillId="0" borderId="0" applyNumberFormat="0" applyFill="0" applyBorder="0" applyAlignment="0" applyProtection="0"/>
    <xf numFmtId="0" fontId="63" fillId="0" borderId="0" applyNumberFormat="0" applyFill="0" applyBorder="0" applyAlignment="0" applyProtection="0"/>
    <xf numFmtId="0" fontId="58" fillId="0" borderId="0" applyProtection="0"/>
    <xf numFmtId="179" fontId="64" fillId="0" borderId="0">
      <protection locked="0"/>
    </xf>
    <xf numFmtId="179" fontId="64" fillId="0" borderId="0">
      <protection locked="0"/>
    </xf>
    <xf numFmtId="0" fontId="64" fillId="0" borderId="0">
      <protection locked="0"/>
    </xf>
    <xf numFmtId="0" fontId="31" fillId="0" borderId="0" applyProtection="0"/>
    <xf numFmtId="179" fontId="64" fillId="0" borderId="0">
      <protection locked="0"/>
    </xf>
    <xf numFmtId="179" fontId="64" fillId="0" borderId="0">
      <protection locked="0"/>
    </xf>
    <xf numFmtId="0" fontId="64" fillId="0" borderId="0">
      <protection locked="0"/>
    </xf>
    <xf numFmtId="0" fontId="18"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111" fillId="0" borderId="0" applyNumberFormat="0" applyFill="0" applyBorder="0" applyAlignment="0" applyProtection="0"/>
    <xf numFmtId="0" fontId="112" fillId="0" borderId="0" applyNumberFormat="0" applyFill="0" applyBorder="0" applyAlignment="0" applyProtection="0"/>
    <xf numFmtId="0" fontId="10" fillId="0" borderId="0" applyNumberFormat="0" applyFill="0" applyBorder="0" applyAlignment="0" applyProtection="0">
      <alignment vertical="top"/>
      <protection locked="0"/>
    </xf>
    <xf numFmtId="0" fontId="26" fillId="4" borderId="0" applyNumberFormat="0" applyBorder="0" applyAlignment="0" applyProtection="0"/>
    <xf numFmtId="0" fontId="47" fillId="8" borderId="4" applyNumberFormat="0" applyAlignment="0" applyProtection="0"/>
    <xf numFmtId="0" fontId="65" fillId="8" borderId="4" applyNumberFormat="0" applyAlignment="0" applyProtection="0"/>
    <xf numFmtId="0" fontId="26" fillId="4" borderId="0" applyNumberFormat="0" applyBorder="0" applyAlignment="0" applyProtection="0"/>
    <xf numFmtId="0" fontId="26" fillId="4" borderId="0" applyNumberFormat="0" applyBorder="0" applyAlignment="0" applyProtection="0"/>
    <xf numFmtId="0" fontId="44" fillId="0" borderId="6" applyNumberFormat="0" applyFill="0" applyAlignment="0" applyProtection="0"/>
    <xf numFmtId="0" fontId="66" fillId="0" borderId="6" applyNumberFormat="0" applyFill="0" applyAlignment="0" applyProtection="0"/>
    <xf numFmtId="0" fontId="6" fillId="31" borderId="0" applyNumberFormat="0" applyBorder="0" applyAlignment="0"/>
    <xf numFmtId="0" fontId="6" fillId="31" borderId="0" applyNumberFormat="0" applyBorder="0" applyAlignment="0"/>
    <xf numFmtId="180" fontId="1" fillId="0" borderId="0" applyFill="0" applyBorder="0" applyAlignment="0" applyProtection="0"/>
    <xf numFmtId="181"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182"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83" fontId="1" fillId="0" borderId="0" applyFont="0" applyFill="0" applyBorder="0" applyAlignment="0" applyProtection="0"/>
    <xf numFmtId="44" fontId="1" fillId="0" borderId="0" applyFont="0" applyFill="0" applyBorder="0" applyAlignment="0" applyProtection="0"/>
    <xf numFmtId="0" fontId="67" fillId="37" borderId="0" applyNumberFormat="0" applyBorder="0" applyAlignment="0" applyProtection="0"/>
    <xf numFmtId="0" fontId="68" fillId="37" borderId="0" applyNumberFormat="0" applyBorder="0" applyAlignment="0" applyProtection="0"/>
    <xf numFmtId="0" fontId="67" fillId="37" borderId="0" applyNumberFormat="0" applyBorder="0" applyAlignment="0" applyProtection="0"/>
    <xf numFmtId="0" fontId="67" fillId="37" borderId="0" applyNumberFormat="0" applyBorder="0" applyAlignment="0" applyProtection="0"/>
    <xf numFmtId="0" fontId="67" fillId="37" borderId="0" applyNumberFormat="0" applyBorder="0" applyAlignment="0" applyProtection="0"/>
    <xf numFmtId="0" fontId="107" fillId="0" borderId="0"/>
    <xf numFmtId="0" fontId="1" fillId="0" borderId="0">
      <alignment horizontal="left"/>
    </xf>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4"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07" fillId="0" borderId="0"/>
    <xf numFmtId="0" fontId="4"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184" fontId="4" fillId="0" borderId="0"/>
    <xf numFmtId="184" fontId="4" fillId="0" borderId="0"/>
    <xf numFmtId="184" fontId="4" fillId="0" borderId="0"/>
    <xf numFmtId="184" fontId="4" fillId="0" borderId="0"/>
    <xf numFmtId="184" fontId="4" fillId="0" borderId="0"/>
    <xf numFmtId="184" fontId="4" fillId="0" borderId="0"/>
    <xf numFmtId="184" fontId="4" fillId="0" borderId="0"/>
    <xf numFmtId="184" fontId="1" fillId="0" borderId="0"/>
    <xf numFmtId="184" fontId="1" fillId="0" borderId="0"/>
    <xf numFmtId="184" fontId="1" fillId="0" borderId="0"/>
    <xf numFmtId="184" fontId="4" fillId="0" borderId="0"/>
    <xf numFmtId="184" fontId="4" fillId="0" borderId="0"/>
    <xf numFmtId="0" fontId="1" fillId="0" borderId="0"/>
    <xf numFmtId="184"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4" fontId="1" fillId="0" borderId="0"/>
    <xf numFmtId="0" fontId="4" fillId="0" borderId="0"/>
    <xf numFmtId="184" fontId="1" fillId="0" borderId="0"/>
    <xf numFmtId="184" fontId="1" fillId="0" borderId="0"/>
    <xf numFmtId="0" fontId="1" fillId="0" borderId="0"/>
    <xf numFmtId="0" fontId="1" fillId="0" borderId="0"/>
    <xf numFmtId="0" fontId="55" fillId="0" borderId="0" applyNumberFormat="0" applyFill="0" applyBorder="0" applyProtection="0"/>
    <xf numFmtId="0" fontId="35" fillId="0" borderId="0"/>
    <xf numFmtId="0" fontId="1" fillId="0" borderId="0"/>
    <xf numFmtId="0" fontId="1" fillId="0" borderId="0"/>
    <xf numFmtId="0" fontId="1" fillId="0" borderId="0"/>
    <xf numFmtId="0" fontId="1" fillId="0" borderId="0"/>
    <xf numFmtId="0" fontId="113"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184" fontId="1" fillId="0" borderId="0"/>
    <xf numFmtId="184" fontId="22" fillId="0" borderId="0"/>
    <xf numFmtId="0" fontId="1" fillId="0" borderId="0"/>
    <xf numFmtId="0" fontId="1" fillId="0" borderId="0"/>
    <xf numFmtId="184" fontId="1" fillId="0" borderId="0"/>
    <xf numFmtId="184" fontId="1" fillId="0" borderId="0"/>
    <xf numFmtId="0" fontId="1" fillId="0" borderId="0"/>
    <xf numFmtId="0" fontId="3" fillId="0" borderId="0"/>
    <xf numFmtId="184" fontId="22" fillId="0" borderId="0"/>
    <xf numFmtId="0" fontId="3" fillId="0" borderId="0"/>
    <xf numFmtId="0" fontId="35" fillId="0" borderId="0"/>
    <xf numFmtId="0" fontId="1" fillId="0" borderId="0"/>
    <xf numFmtId="184" fontId="22"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5" fontId="4" fillId="0" borderId="0"/>
    <xf numFmtId="0" fontId="107" fillId="0" borderId="0"/>
    <xf numFmtId="0" fontId="107" fillId="0" borderId="0"/>
    <xf numFmtId="0" fontId="107" fillId="0" borderId="0"/>
    <xf numFmtId="0" fontId="107" fillId="0" borderId="0"/>
    <xf numFmtId="0" fontId="1" fillId="0" borderId="0"/>
    <xf numFmtId="0" fontId="11"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35"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9" fillId="0" borderId="0"/>
    <xf numFmtId="0" fontId="1" fillId="0" borderId="0"/>
    <xf numFmtId="0" fontId="1" fillId="0" borderId="0"/>
    <xf numFmtId="0" fontId="22" fillId="0" borderId="0"/>
    <xf numFmtId="0" fontId="1" fillId="0" borderId="0"/>
    <xf numFmtId="0" fontId="4" fillId="32" borderId="8" applyNumberFormat="0" applyFont="0" applyAlignment="0" applyProtection="0"/>
    <xf numFmtId="0" fontId="4" fillId="32" borderId="8"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 fillId="32" borderId="8" applyNumberFormat="0" applyFont="0" applyAlignment="0" applyProtection="0"/>
    <xf numFmtId="0" fontId="1"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 fillId="32" borderId="8" applyNumberFormat="0" applyFont="0" applyAlignment="0" applyProtection="0"/>
    <xf numFmtId="0" fontId="1" fillId="32" borderId="8"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 fillId="32" borderId="8"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4" fillId="32" borderId="8" applyNumberFormat="0" applyFont="0" applyAlignment="0" applyProtection="0"/>
    <xf numFmtId="0" fontId="1" fillId="32" borderId="8" applyNumberFormat="0" applyFont="0" applyAlignment="0" applyProtection="0"/>
    <xf numFmtId="0" fontId="4"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07" fillId="50" borderId="34" applyNumberFormat="0" applyFont="0" applyAlignment="0" applyProtection="0"/>
    <xf numFmtId="0" fontId="1" fillId="0" borderId="0"/>
    <xf numFmtId="0" fontId="1" fillId="0" borderId="0"/>
    <xf numFmtId="0" fontId="69" fillId="29" borderId="12" applyNumberFormat="0" applyAlignment="0" applyProtection="0"/>
    <xf numFmtId="0" fontId="70" fillId="29" borderId="12"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10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71" fillId="0" borderId="0" applyNumberFormat="0" applyFont="0" applyFill="0" applyBorder="0" applyAlignment="0" applyProtection="0">
      <alignment horizontal="left"/>
    </xf>
    <xf numFmtId="4" fontId="71" fillId="0" borderId="0" applyFont="0" applyFill="0" applyBorder="0" applyAlignment="0" applyProtection="0"/>
    <xf numFmtId="0" fontId="72" fillId="0" borderId="13">
      <alignment horizontal="center"/>
    </xf>
    <xf numFmtId="0" fontId="72" fillId="0" borderId="13">
      <alignment horizontal="center"/>
    </xf>
    <xf numFmtId="44" fontId="14" fillId="31" borderId="0" applyFill="0"/>
    <xf numFmtId="44" fontId="14" fillId="31" borderId="0" applyFill="0"/>
    <xf numFmtId="0" fontId="73" fillId="0" borderId="0">
      <alignment horizontal="left" vertical="top"/>
    </xf>
    <xf numFmtId="0" fontId="14" fillId="0" borderId="0" applyFill="0">
      <alignment horizontal="left" indent="2"/>
    </xf>
    <xf numFmtId="0" fontId="14" fillId="0" borderId="0" applyFill="0">
      <alignment horizontal="left" indent="2"/>
    </xf>
    <xf numFmtId="44" fontId="13" fillId="0" borderId="14" applyFill="0">
      <alignment horizontal="right"/>
    </xf>
    <xf numFmtId="44" fontId="13"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2"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3" fillId="0" borderId="14" applyFill="0">
      <alignment horizontal="right"/>
    </xf>
    <xf numFmtId="44" fontId="12" fillId="0" borderId="14" applyFill="0">
      <alignment horizontal="right"/>
    </xf>
    <xf numFmtId="0" fontId="2" fillId="0" borderId="7" applyNumberFormat="0" applyFont="0" applyBorder="0">
      <alignment horizontal="right"/>
    </xf>
    <xf numFmtId="0" fontId="2" fillId="0" borderId="7" applyNumberFormat="0" applyFont="0" applyBorder="0">
      <alignment horizontal="right"/>
    </xf>
    <xf numFmtId="0" fontId="33" fillId="0" borderId="0" applyFill="0"/>
    <xf numFmtId="0" fontId="31" fillId="0" borderId="0" applyFill="0"/>
    <xf numFmtId="44" fontId="13" fillId="0" borderId="14" applyFill="0"/>
    <xf numFmtId="44" fontId="13"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2" fillId="0" borderId="14" applyFill="0"/>
    <xf numFmtId="44" fontId="13" fillId="0" borderId="14" applyFill="0"/>
    <xf numFmtId="44" fontId="13" fillId="0" borderId="14" applyFill="0"/>
    <xf numFmtId="44" fontId="13" fillId="0" borderId="14" applyFill="0"/>
    <xf numFmtId="44" fontId="13" fillId="0" borderId="14" applyFill="0"/>
    <xf numFmtId="44" fontId="13" fillId="0" borderId="14" applyFill="0"/>
    <xf numFmtId="44" fontId="13" fillId="0" borderId="14" applyFill="0"/>
    <xf numFmtId="44" fontId="13" fillId="0" borderId="14" applyFill="0"/>
    <xf numFmtId="44" fontId="2" fillId="0" borderId="14" applyFill="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74" fillId="0" borderId="0" applyFill="0">
      <alignment horizontal="left" indent="1"/>
    </xf>
    <xf numFmtId="0" fontId="75" fillId="0" borderId="0" applyFill="0">
      <alignment horizontal="left" indent="1"/>
    </xf>
    <xf numFmtId="44" fontId="14" fillId="0" borderId="0" applyFill="0"/>
    <xf numFmtId="44" fontId="2" fillId="0" borderId="0" applyFill="0"/>
    <xf numFmtId="44" fontId="2" fillId="0" borderId="0" applyFill="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74" fillId="0" borderId="0" applyFill="0">
      <alignment horizontal="left" indent="2"/>
    </xf>
    <xf numFmtId="0" fontId="2" fillId="0" borderId="0" applyFill="0">
      <alignment horizontal="left" indent="2"/>
    </xf>
    <xf numFmtId="0" fontId="12" fillId="0" borderId="0" applyFill="0">
      <alignment horizontal="left" indent="2"/>
    </xf>
    <xf numFmtId="0" fontId="12" fillId="0" borderId="0" applyFill="0">
      <alignment horizontal="left" indent="2"/>
    </xf>
    <xf numFmtId="44" fontId="14" fillId="0" borderId="0" applyFill="0"/>
    <xf numFmtId="44" fontId="14" fillId="0" borderId="0" applyFill="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76" fillId="0" borderId="0">
      <alignment horizontal="left" indent="3"/>
    </xf>
    <xf numFmtId="0" fontId="2" fillId="0" borderId="0" applyFill="0">
      <alignment horizontal="left" indent="3"/>
    </xf>
    <xf numFmtId="0" fontId="15" fillId="0" borderId="0" applyFill="0">
      <alignment horizontal="left" indent="3"/>
    </xf>
    <xf numFmtId="0" fontId="2" fillId="0" borderId="0" applyFill="0">
      <alignment horizontal="left" indent="3"/>
    </xf>
    <xf numFmtId="44" fontId="14" fillId="0" borderId="0" applyFill="0"/>
    <xf numFmtId="44" fontId="14" fillId="0" borderId="0" applyFill="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9" fillId="0" borderId="0">
      <alignment horizontal="left" indent="4"/>
    </xf>
    <xf numFmtId="0" fontId="1" fillId="0" borderId="0" applyFill="0">
      <alignment horizontal="left" indent="4"/>
    </xf>
    <xf numFmtId="0" fontId="1" fillId="0" borderId="0" applyFill="0">
      <alignment horizontal="left" indent="4"/>
    </xf>
    <xf numFmtId="44" fontId="36" fillId="0" borderId="0" applyFill="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1" fillId="0" borderId="0" applyNumberFormat="0" applyFont="0" applyBorder="0" applyAlignment="0"/>
    <xf numFmtId="0" fontId="37" fillId="0" borderId="0">
      <alignment horizontal="left" indent="5"/>
    </xf>
    <xf numFmtId="0" fontId="38" fillId="0" borderId="0" applyFill="0">
      <alignment horizontal="left" indent="5"/>
    </xf>
    <xf numFmtId="44" fontId="39" fillId="0" borderId="0" applyFill="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1" fillId="0" borderId="0" applyNumberFormat="0" applyFont="0" applyFill="0" applyBorder="0" applyAlignment="0"/>
    <xf numFmtId="0" fontId="40" fillId="0" borderId="0" applyFill="0">
      <alignment horizontal="left" indent="6"/>
    </xf>
    <xf numFmtId="0" fontId="36" fillId="0" borderId="0" applyFill="0">
      <alignment horizontal="left" indent="6"/>
    </xf>
    <xf numFmtId="0" fontId="69" fillId="29" borderId="12" applyNumberFormat="0" applyAlignment="0" applyProtection="0"/>
    <xf numFmtId="0" fontId="28" fillId="5" borderId="0" applyNumberFormat="0" applyBorder="0" applyAlignment="0" applyProtection="0"/>
    <xf numFmtId="0" fontId="28" fillId="5" borderId="0" applyNumberFormat="0" applyBorder="0" applyAlignment="0" applyProtection="0"/>
    <xf numFmtId="0" fontId="9" fillId="0" borderId="0" applyNumberFormat="0" applyFill="0" applyBorder="0" applyAlignment="0" applyProtection="0"/>
    <xf numFmtId="0" fontId="69" fillId="29" borderId="12" applyNumberFormat="0" applyAlignment="0" applyProtection="0"/>
    <xf numFmtId="0" fontId="69" fillId="29" borderId="12" applyNumberFormat="0" applyAlignment="0" applyProtection="0"/>
    <xf numFmtId="0" fontId="20" fillId="0" borderId="0"/>
    <xf numFmtId="0" fontId="22" fillId="0" borderId="0" applyNumberFormat="0" applyBorder="0" applyAlignment="0"/>
    <xf numFmtId="0" fontId="22" fillId="0" borderId="0" applyNumberFormat="0" applyBorder="0" applyAlignment="0"/>
    <xf numFmtId="0" fontId="22" fillId="0" borderId="0" applyNumberFormat="0" applyBorder="0" applyAlignment="0"/>
    <xf numFmtId="0" fontId="77" fillId="0" borderId="0" applyNumberFormat="0" applyBorder="0" applyAlignment="0"/>
    <xf numFmtId="0" fontId="78" fillId="0" borderId="0" applyNumberFormat="0" applyBorder="0" applyAlignment="0"/>
    <xf numFmtId="0" fontId="79" fillId="0" borderId="0" applyNumberFormat="0" applyBorder="0" applyAlignment="0"/>
    <xf numFmtId="0" fontId="79" fillId="0" borderId="0" applyNumberFormat="0" applyBorder="0" applyAlignment="0"/>
    <xf numFmtId="0" fontId="25"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25" fillId="0" borderId="0" applyNumberFormat="0" applyFill="0" applyBorder="0" applyAlignment="0" applyProtection="0"/>
    <xf numFmtId="0" fontId="49" fillId="0" borderId="0" applyNumberFormat="0" applyFill="0" applyBorder="0" applyAlignment="0" applyProtection="0"/>
    <xf numFmtId="0" fontId="80" fillId="0" borderId="0" applyNumberFormat="0" applyFill="0" applyBorder="0" applyAlignment="0" applyProtection="0"/>
    <xf numFmtId="0" fontId="114" fillId="0" borderId="0" applyNumberFormat="0" applyFill="0" applyBorder="0" applyAlignment="0" applyProtection="0"/>
    <xf numFmtId="0" fontId="80" fillId="0" borderId="0" applyNumberFormat="0" applyFill="0" applyBorder="0" applyAlignment="0" applyProtection="0"/>
    <xf numFmtId="0" fontId="57" fillId="0" borderId="9" applyNumberFormat="0" applyFill="0" applyAlignment="0" applyProtection="0"/>
    <xf numFmtId="0" fontId="60" fillId="0" borderId="10"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46"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57" fillId="0" borderId="9" applyNumberFormat="0" applyFill="0" applyAlignment="0" applyProtection="0"/>
    <xf numFmtId="0" fontId="57" fillId="0" borderId="9" applyNumberFormat="0" applyFill="0" applyAlignment="0" applyProtection="0"/>
    <xf numFmtId="0" fontId="60" fillId="0" borderId="10" applyNumberFormat="0" applyFill="0" applyAlignment="0" applyProtection="0"/>
    <xf numFmtId="0" fontId="60" fillId="0" borderId="10"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80" fillId="0" borderId="0" applyNumberFormat="0" applyFill="0" applyBorder="0" applyAlignment="0" applyProtection="0"/>
    <xf numFmtId="0" fontId="57" fillId="0" borderId="9" applyNumberFormat="0" applyFill="0" applyAlignment="0" applyProtection="0"/>
    <xf numFmtId="0" fontId="60" fillId="0" borderId="10" applyNumberFormat="0" applyFill="0" applyAlignment="0" applyProtection="0"/>
    <xf numFmtId="0" fontId="46" fillId="0" borderId="11" applyNumberFormat="0" applyFill="0" applyAlignment="0" applyProtection="0"/>
    <xf numFmtId="0" fontId="46" fillId="0" borderId="11" applyNumberFormat="0" applyFill="0" applyAlignment="0" applyProtection="0"/>
    <xf numFmtId="0" fontId="1" fillId="36" borderId="16"/>
    <xf numFmtId="0" fontId="1" fillId="36" borderId="16"/>
    <xf numFmtId="0" fontId="1" fillId="36" borderId="16"/>
    <xf numFmtId="0" fontId="81" fillId="0" borderId="2" applyNumberFormat="0" applyFont="0" applyFill="0" applyAlignment="0" applyProtection="0"/>
    <xf numFmtId="0" fontId="8" fillId="0" borderId="15" applyNumberFormat="0" applyFill="0" applyAlignment="0" applyProtection="0"/>
    <xf numFmtId="0" fontId="1" fillId="0" borderId="0"/>
    <xf numFmtId="0" fontId="1" fillId="0" borderId="0"/>
    <xf numFmtId="0" fontId="82" fillId="0" borderId="0" applyNumberFormat="0" applyBorder="0" applyAlignment="0">
      <protection locked="0"/>
    </xf>
    <xf numFmtId="0" fontId="26" fillId="4" borderId="0" applyNumberFormat="0" applyBorder="0" applyAlignment="0" applyProtection="0"/>
    <xf numFmtId="0" fontId="28" fillId="5" borderId="0" applyNumberFormat="0" applyBorder="0" applyAlignment="0" applyProtection="0"/>
    <xf numFmtId="0" fontId="43" fillId="30" borderId="5" applyNumberFormat="0" applyAlignment="0" applyProtection="0"/>
    <xf numFmtId="0" fontId="43" fillId="30" borderId="5" applyNumberFormat="0" applyAlignment="0" applyProtection="0"/>
    <xf numFmtId="0" fontId="25" fillId="0" borderId="0" applyNumberFormat="0" applyFill="0" applyBorder="0" applyAlignment="0" applyProtection="0"/>
    <xf numFmtId="0" fontId="16" fillId="0" borderId="0" applyNumberFormat="0" applyFill="0" applyBorder="0" applyAlignment="0" applyProtection="0"/>
    <xf numFmtId="0" fontId="6" fillId="0" borderId="0" applyNumberFormat="0" applyFont="0" applyFill="0" applyBorder="0">
      <alignment wrapText="1"/>
    </xf>
    <xf numFmtId="0" fontId="6" fillId="0" borderId="0" applyNumberFormat="0" applyFont="0" applyFill="0" applyBorder="0">
      <alignment wrapText="1"/>
    </xf>
    <xf numFmtId="0" fontId="24" fillId="17" borderId="0" applyNumberFormat="0" applyBorder="0" applyAlignment="0" applyProtection="0">
      <alignment vertical="center"/>
    </xf>
    <xf numFmtId="0" fontId="24" fillId="21" borderId="0" applyNumberFormat="0" applyBorder="0" applyAlignment="0" applyProtection="0">
      <alignment vertical="center"/>
    </xf>
    <xf numFmtId="0" fontId="24" fillId="24" borderId="0" applyNumberFormat="0" applyBorder="0" applyAlignment="0" applyProtection="0">
      <alignment vertical="center"/>
    </xf>
    <xf numFmtId="0" fontId="24" fillId="14" borderId="0" applyNumberFormat="0" applyBorder="0" applyAlignment="0" applyProtection="0">
      <alignment vertical="center"/>
    </xf>
    <xf numFmtId="0" fontId="24" fillId="15" borderId="0" applyNumberFormat="0" applyBorder="0" applyAlignment="0" applyProtection="0">
      <alignment vertical="center"/>
    </xf>
    <xf numFmtId="0" fontId="24" fillId="26" borderId="0" applyNumberFormat="0" applyBorder="0" applyAlignment="0" applyProtection="0">
      <alignment vertical="center"/>
    </xf>
    <xf numFmtId="0" fontId="83" fillId="0" borderId="0" applyNumberFormat="0" applyFill="0" applyBorder="0" applyAlignment="0" applyProtection="0">
      <alignment vertical="center"/>
    </xf>
    <xf numFmtId="0" fontId="84" fillId="30" borderId="5" applyNumberFormat="0" applyAlignment="0" applyProtection="0">
      <alignment vertical="center"/>
    </xf>
    <xf numFmtId="0" fontId="85" fillId="37" borderId="0" applyNumberFormat="0" applyBorder="0" applyAlignment="0" applyProtection="0">
      <alignment vertical="center"/>
    </xf>
    <xf numFmtId="0" fontId="1" fillId="32" borderId="8" applyNumberFormat="0" applyFont="0" applyAlignment="0" applyProtection="0">
      <alignment vertical="center"/>
    </xf>
    <xf numFmtId="0" fontId="1" fillId="32" borderId="8" applyNumberFormat="0" applyFont="0" applyAlignment="0" applyProtection="0">
      <alignment vertical="center"/>
    </xf>
    <xf numFmtId="0" fontId="86" fillId="0" borderId="6" applyNumberFormat="0" applyFill="0" applyAlignment="0" applyProtection="0">
      <alignment vertical="center"/>
    </xf>
    <xf numFmtId="0" fontId="1" fillId="0" borderId="0" applyBorder="0"/>
    <xf numFmtId="0" fontId="87" fillId="8" borderId="4" applyNumberFormat="0" applyAlignment="0" applyProtection="0">
      <alignment vertical="center"/>
    </xf>
    <xf numFmtId="0" fontId="88" fillId="29" borderId="12" applyNumberFormat="0" applyAlignment="0" applyProtection="0">
      <alignment vertical="center"/>
    </xf>
    <xf numFmtId="0" fontId="89" fillId="4" borderId="0" applyNumberFormat="0" applyBorder="0" applyAlignment="0" applyProtection="0">
      <alignment vertical="center"/>
    </xf>
    <xf numFmtId="0" fontId="90" fillId="5" borderId="0" applyNumberFormat="0" applyBorder="0" applyAlignment="0" applyProtection="0">
      <alignment vertical="center"/>
    </xf>
    <xf numFmtId="0" fontId="91" fillId="0" borderId="9" applyNumberFormat="0" applyFill="0" applyAlignment="0" applyProtection="0">
      <alignment vertical="center"/>
    </xf>
    <xf numFmtId="0" fontId="92" fillId="0" borderId="10" applyNumberFormat="0" applyFill="0" applyAlignment="0" applyProtection="0">
      <alignment vertical="center"/>
    </xf>
    <xf numFmtId="0" fontId="93" fillId="0" borderId="11" applyNumberFormat="0" applyFill="0" applyAlignment="0" applyProtection="0">
      <alignment vertical="center"/>
    </xf>
    <xf numFmtId="0" fontId="93" fillId="0" borderId="11" applyNumberFormat="0" applyFill="0" applyAlignment="0" applyProtection="0">
      <alignment vertical="center"/>
    </xf>
    <xf numFmtId="0" fontId="93" fillId="0" borderId="0" applyNumberFormat="0" applyFill="0" applyBorder="0" applyAlignment="0" applyProtection="0">
      <alignment vertical="center"/>
    </xf>
    <xf numFmtId="0" fontId="94" fillId="29" borderId="4" applyNumberFormat="0" applyAlignment="0" applyProtection="0">
      <alignment vertical="center"/>
    </xf>
    <xf numFmtId="0" fontId="95" fillId="0" borderId="0" applyNumberFormat="0" applyFill="0" applyBorder="0" applyAlignment="0" applyProtection="0">
      <alignment vertical="center"/>
    </xf>
    <xf numFmtId="0" fontId="96" fillId="0" borderId="0" applyNumberFormat="0" applyFill="0" applyBorder="0" applyAlignment="0" applyProtection="0">
      <alignment vertical="center"/>
    </xf>
    <xf numFmtId="0" fontId="97" fillId="0" borderId="15" applyNumberFormat="0" applyFill="0" applyAlignment="0" applyProtection="0">
      <alignment vertical="center"/>
    </xf>
  </cellStyleXfs>
  <cellXfs count="150">
    <xf numFmtId="0" fontId="0" fillId="0" borderId="0" xfId="0"/>
    <xf numFmtId="0" fontId="1" fillId="0" borderId="0" xfId="0" applyFont="1"/>
    <xf numFmtId="0" fontId="99" fillId="0" borderId="0" xfId="0" applyFont="1"/>
    <xf numFmtId="44" fontId="99" fillId="0" borderId="0" xfId="764" applyFont="1" applyFill="1" applyBorder="1" applyAlignment="1">
      <alignment horizontal="center"/>
    </xf>
    <xf numFmtId="0" fontId="99" fillId="0" borderId="0" xfId="0" applyFont="1" applyAlignment="1">
      <alignment horizontal="center"/>
    </xf>
    <xf numFmtId="164" fontId="100" fillId="0" borderId="0" xfId="764" applyNumberFormat="1" applyFont="1" applyFill="1" applyBorder="1" applyAlignment="1"/>
    <xf numFmtId="164" fontId="99" fillId="0" borderId="0" xfId="764" applyNumberFormat="1" applyFont="1" applyFill="1" applyBorder="1" applyAlignment="1">
      <alignment horizontal="right"/>
    </xf>
    <xf numFmtId="0" fontId="115" fillId="0" borderId="0" xfId="0" applyFont="1"/>
    <xf numFmtId="0" fontId="99" fillId="0" borderId="0" xfId="0" applyFont="1" applyAlignment="1">
      <alignment horizontal="left"/>
    </xf>
    <xf numFmtId="0" fontId="116" fillId="0" borderId="0" xfId="1078" applyFont="1" applyAlignment="1">
      <alignment horizontal="right"/>
    </xf>
    <xf numFmtId="165" fontId="99" fillId="0" borderId="0" xfId="589" applyNumberFormat="1" applyFont="1" applyFill="1" applyBorder="1" applyAlignment="1">
      <alignment horizontal="right" vertical="top"/>
    </xf>
    <xf numFmtId="164" fontId="100" fillId="0" borderId="0" xfId="764" applyNumberFormat="1" applyFont="1" applyFill="1" applyBorder="1" applyAlignment="1">
      <alignment horizontal="right"/>
    </xf>
    <xf numFmtId="165" fontId="100" fillId="0" borderId="0" xfId="589" applyNumberFormat="1" applyFont="1" applyFill="1" applyBorder="1"/>
    <xf numFmtId="0" fontId="99" fillId="0" borderId="0" xfId="0" applyFont="1" applyAlignment="1">
      <alignment horizontal="center" wrapText="1"/>
    </xf>
    <xf numFmtId="0" fontId="100" fillId="0" borderId="0" xfId="0" applyFont="1"/>
    <xf numFmtId="0" fontId="99" fillId="0" borderId="0" xfId="0" applyFont="1" applyAlignment="1">
      <alignment horizontal="center" vertical="top" wrapText="1"/>
    </xf>
    <xf numFmtId="44" fontId="99" fillId="0" borderId="0" xfId="764" applyFont="1" applyFill="1" applyBorder="1" applyAlignment="1">
      <alignment horizontal="left" vertical="top" wrapText="1"/>
    </xf>
    <xf numFmtId="10" fontId="99" fillId="0" borderId="0" xfId="0" quotePrefix="1" applyNumberFormat="1" applyFont="1" applyAlignment="1">
      <alignment horizontal="center" vertical="top" wrapText="1"/>
    </xf>
    <xf numFmtId="3" fontId="99" fillId="0" borderId="0" xfId="764" applyNumberFormat="1" applyFont="1" applyFill="1" applyBorder="1" applyAlignment="1">
      <alignment horizontal="center" vertical="top" wrapText="1"/>
    </xf>
    <xf numFmtId="164" fontId="99" fillId="0" borderId="0" xfId="764" applyNumberFormat="1" applyFont="1" applyFill="1" applyBorder="1" applyAlignment="1">
      <alignment horizontal="center" vertical="top" wrapText="1"/>
    </xf>
    <xf numFmtId="164" fontId="100" fillId="0" borderId="0" xfId="764" applyNumberFormat="1" applyFont="1" applyFill="1" applyBorder="1" applyAlignment="1">
      <alignment horizontal="right" wrapText="1"/>
    </xf>
    <xf numFmtId="164" fontId="100" fillId="0" borderId="0" xfId="764" applyNumberFormat="1" applyFont="1" applyFill="1" applyBorder="1" applyAlignment="1">
      <alignment wrapText="1"/>
    </xf>
    <xf numFmtId="0" fontId="100" fillId="0" borderId="17" xfId="0" applyFont="1" applyBorder="1"/>
    <xf numFmtId="0" fontId="100" fillId="0" borderId="0" xfId="0" applyFont="1" applyAlignment="1">
      <alignment horizontal="left" vertical="top" wrapText="1"/>
    </xf>
    <xf numFmtId="44" fontId="100" fillId="0" borderId="0" xfId="764" applyFont="1" applyFill="1" applyBorder="1" applyAlignment="1">
      <alignment vertical="top" wrapText="1"/>
    </xf>
    <xf numFmtId="37" fontId="99" fillId="0" borderId="0" xfId="0" applyNumberFormat="1" applyFont="1" applyAlignment="1">
      <alignment horizontal="center" vertical="top" wrapText="1"/>
    </xf>
    <xf numFmtId="0" fontId="100" fillId="0" borderId="0" xfId="0" applyFont="1" applyAlignment="1">
      <alignment horizontal="left" wrapText="1"/>
    </xf>
    <xf numFmtId="44" fontId="100" fillId="0" borderId="0" xfId="764" applyFont="1" applyFill="1" applyBorder="1" applyAlignment="1">
      <alignment horizontal="center" wrapText="1"/>
    </xf>
    <xf numFmtId="0" fontId="99" fillId="0" borderId="18" xfId="0" applyFont="1" applyBorder="1"/>
    <xf numFmtId="165" fontId="99" fillId="0" borderId="0" xfId="617" applyNumberFormat="1" applyFont="1" applyFill="1" applyBorder="1" applyAlignment="1">
      <alignment horizontal="right" vertical="top" wrapText="1"/>
    </xf>
    <xf numFmtId="0" fontId="100" fillId="0" borderId="3" xfId="0" applyFont="1" applyBorder="1"/>
    <xf numFmtId="0" fontId="99" fillId="0" borderId="0" xfId="0" applyFont="1" applyAlignment="1">
      <alignment vertical="top"/>
    </xf>
    <xf numFmtId="0" fontId="99" fillId="0" borderId="0" xfId="0" applyFont="1" applyAlignment="1">
      <alignment wrapText="1"/>
    </xf>
    <xf numFmtId="44" fontId="99" fillId="0" borderId="0" xfId="764" applyFont="1" applyFill="1" applyBorder="1"/>
    <xf numFmtId="3" fontId="99" fillId="0" borderId="0" xfId="0" applyNumberFormat="1" applyFont="1" applyAlignment="1">
      <alignment vertical="top"/>
    </xf>
    <xf numFmtId="44" fontId="99" fillId="0" borderId="0" xfId="764" applyFont="1" applyFill="1" applyBorder="1" applyAlignment="1">
      <alignment horizontal="center" wrapText="1"/>
    </xf>
    <xf numFmtId="3" fontId="100" fillId="0" borderId="0" xfId="0" applyNumberFormat="1" applyFont="1" applyAlignment="1">
      <alignment vertical="top"/>
    </xf>
    <xf numFmtId="164" fontId="99" fillId="0" borderId="0" xfId="764" applyNumberFormat="1" applyFont="1" applyFill="1" applyBorder="1" applyAlignment="1">
      <alignment horizontal="right" wrapText="1"/>
    </xf>
    <xf numFmtId="164" fontId="115" fillId="0" borderId="0" xfId="764" applyNumberFormat="1" applyFont="1" applyFill="1" applyBorder="1" applyAlignment="1">
      <alignment horizontal="center" wrapText="1"/>
    </xf>
    <xf numFmtId="164" fontId="100" fillId="0" borderId="19" xfId="764" applyNumberFormat="1" applyFont="1" applyFill="1" applyBorder="1" applyAlignment="1"/>
    <xf numFmtId="164" fontId="101" fillId="0" borderId="7" xfId="764" applyNumberFormat="1" applyFont="1" applyFill="1" applyBorder="1" applyAlignment="1">
      <alignment horizontal="right" vertical="center" wrapText="1"/>
    </xf>
    <xf numFmtId="0" fontId="101" fillId="0" borderId="7" xfId="0" applyFont="1" applyBorder="1" applyAlignment="1">
      <alignment horizontal="center" vertical="center" wrapText="1"/>
    </xf>
    <xf numFmtId="164" fontId="101" fillId="0" borderId="7" xfId="764" applyNumberFormat="1" applyFont="1" applyFill="1" applyBorder="1" applyAlignment="1">
      <alignment vertical="center" wrapText="1"/>
    </xf>
    <xf numFmtId="164" fontId="101" fillId="51" borderId="7" xfId="764" applyNumberFormat="1" applyFont="1" applyFill="1" applyBorder="1" applyAlignment="1">
      <alignment horizontal="right" vertical="center" wrapText="1"/>
    </xf>
    <xf numFmtId="166" fontId="102" fillId="0" borderId="7" xfId="764" applyNumberFormat="1" applyFont="1" applyFill="1" applyBorder="1" applyAlignment="1">
      <alignment horizontal="right" vertical="center" wrapText="1"/>
    </xf>
    <xf numFmtId="0" fontId="102" fillId="0" borderId="7" xfId="0" applyFont="1" applyBorder="1" applyAlignment="1">
      <alignment horizontal="center" vertical="center" wrapText="1"/>
    </xf>
    <xf numFmtId="165" fontId="102" fillId="0" borderId="7" xfId="0" applyNumberFormat="1" applyFont="1" applyBorder="1" applyAlignment="1">
      <alignment horizontal="center" vertical="center" wrapText="1"/>
    </xf>
    <xf numFmtId="9" fontId="102" fillId="0" borderId="7" xfId="1466" applyFont="1" applyFill="1" applyBorder="1" applyAlignment="1" applyProtection="1">
      <alignment horizontal="center" vertical="center" wrapText="1"/>
      <protection locked="0"/>
    </xf>
    <xf numFmtId="166" fontId="102" fillId="0" borderId="7" xfId="764" applyNumberFormat="1" applyFont="1" applyFill="1" applyBorder="1" applyAlignment="1">
      <alignment vertical="center" wrapText="1"/>
    </xf>
    <xf numFmtId="166" fontId="102" fillId="51" borderId="7" xfId="764" applyNumberFormat="1" applyFont="1" applyFill="1" applyBorder="1" applyAlignment="1">
      <alignment horizontal="right" vertical="center" wrapText="1"/>
    </xf>
    <xf numFmtId="0" fontId="102" fillId="0" borderId="7" xfId="0" applyFont="1" applyBorder="1" applyAlignment="1">
      <alignment vertical="center" wrapText="1"/>
    </xf>
    <xf numFmtId="0" fontId="102" fillId="51" borderId="7" xfId="0" applyFont="1" applyFill="1" applyBorder="1" applyAlignment="1">
      <alignment vertical="center" wrapText="1"/>
    </xf>
    <xf numFmtId="166" fontId="101" fillId="51" borderId="7" xfId="764" applyNumberFormat="1" applyFont="1" applyFill="1" applyBorder="1" applyAlignment="1">
      <alignment horizontal="right" vertical="center" wrapText="1"/>
    </xf>
    <xf numFmtId="164" fontId="102" fillId="0" borderId="7" xfId="764" applyNumberFormat="1" applyFont="1" applyFill="1" applyBorder="1" applyAlignment="1">
      <alignment horizontal="right" vertical="center" wrapText="1"/>
    </xf>
    <xf numFmtId="164" fontId="102" fillId="0" borderId="7" xfId="764" applyNumberFormat="1" applyFont="1" applyFill="1" applyBorder="1" applyAlignment="1">
      <alignment vertical="center" wrapText="1"/>
    </xf>
    <xf numFmtId="1" fontId="102" fillId="0" borderId="7" xfId="0" applyNumberFormat="1" applyFont="1" applyBorder="1" applyAlignment="1">
      <alignment horizontal="center" vertical="center" wrapText="1"/>
    </xf>
    <xf numFmtId="166" fontId="101" fillId="0" borderId="7" xfId="764" applyNumberFormat="1" applyFont="1" applyFill="1" applyBorder="1" applyAlignment="1">
      <alignment vertical="center" wrapText="1"/>
    </xf>
    <xf numFmtId="0" fontId="102" fillId="0" borderId="20" xfId="0" applyFont="1" applyBorder="1" applyAlignment="1">
      <alignment vertical="center"/>
    </xf>
    <xf numFmtId="0" fontId="101" fillId="0" borderId="21" xfId="0" applyFont="1" applyBorder="1" applyAlignment="1">
      <alignment horizontal="center" vertical="center"/>
    </xf>
    <xf numFmtId="0" fontId="101" fillId="0" borderId="22" xfId="0" applyFont="1" applyBorder="1" applyAlignment="1">
      <alignment horizontal="center" vertical="center"/>
    </xf>
    <xf numFmtId="166" fontId="102" fillId="0" borderId="7" xfId="0" applyNumberFormat="1" applyFont="1" applyBorder="1" applyAlignment="1">
      <alignment vertical="center"/>
    </xf>
    <xf numFmtId="166" fontId="102" fillId="0" borderId="23" xfId="0" applyNumberFormat="1" applyFont="1" applyBorder="1" applyAlignment="1">
      <alignment vertical="center"/>
    </xf>
    <xf numFmtId="164" fontId="117" fillId="0" borderId="35" xfId="0" applyNumberFormat="1" applyFont="1" applyBorder="1" applyAlignment="1">
      <alignment horizontal="right" wrapText="1"/>
    </xf>
    <xf numFmtId="0" fontId="117" fillId="0" borderId="35" xfId="0" applyFont="1" applyBorder="1" applyAlignment="1">
      <alignment horizontal="center" wrapText="1"/>
    </xf>
    <xf numFmtId="164" fontId="117" fillId="0" borderId="35" xfId="0" applyNumberFormat="1" applyFont="1" applyBorder="1" applyAlignment="1">
      <alignment wrapText="1"/>
    </xf>
    <xf numFmtId="9" fontId="117" fillId="0" borderId="35" xfId="0" applyNumberFormat="1" applyFont="1" applyBorder="1" applyAlignment="1">
      <alignment horizontal="center" wrapText="1"/>
    </xf>
    <xf numFmtId="166" fontId="118" fillId="52" borderId="35" xfId="0" applyNumberFormat="1" applyFont="1" applyFill="1" applyBorder="1" applyAlignment="1">
      <alignment vertical="top" wrapText="1"/>
    </xf>
    <xf numFmtId="166" fontId="118" fillId="52" borderId="35" xfId="0" applyNumberFormat="1" applyFont="1" applyFill="1" applyBorder="1" applyAlignment="1">
      <alignment horizontal="center" vertical="center" wrapText="1"/>
    </xf>
    <xf numFmtId="166" fontId="118" fillId="52" borderId="35" xfId="0" applyNumberFormat="1" applyFont="1" applyFill="1" applyBorder="1" applyAlignment="1">
      <alignment vertical="center" wrapText="1"/>
    </xf>
    <xf numFmtId="0" fontId="11" fillId="0" borderId="0" xfId="0" applyFont="1"/>
    <xf numFmtId="0" fontId="119" fillId="53" borderId="36" xfId="0" applyFont="1" applyFill="1" applyBorder="1" applyAlignment="1">
      <alignment horizontal="left" vertical="top" wrapText="1"/>
    </xf>
    <xf numFmtId="0" fontId="119" fillId="0" borderId="0" xfId="0" applyFont="1" applyAlignment="1">
      <alignment horizontal="left" vertical="top" wrapText="1"/>
    </xf>
    <xf numFmtId="0" fontId="120" fillId="0" borderId="0" xfId="0" applyFont="1" applyAlignment="1">
      <alignment vertical="center"/>
    </xf>
    <xf numFmtId="0" fontId="121" fillId="0" borderId="0" xfId="0" applyFont="1" applyAlignment="1">
      <alignment vertical="center"/>
    </xf>
    <xf numFmtId="0" fontId="122" fillId="0" borderId="0" xfId="0" applyFont="1" applyAlignment="1">
      <alignment vertical="center"/>
    </xf>
    <xf numFmtId="0" fontId="123" fillId="0" borderId="0" xfId="0" applyFont="1" applyAlignment="1">
      <alignment vertical="center"/>
    </xf>
    <xf numFmtId="166" fontId="118" fillId="52" borderId="37" xfId="0" applyNumberFormat="1" applyFont="1" applyFill="1" applyBorder="1" applyAlignment="1">
      <alignment vertical="center" wrapText="1"/>
    </xf>
    <xf numFmtId="166" fontId="102" fillId="0" borderId="7" xfId="764" applyNumberFormat="1" applyFont="1" applyFill="1" applyBorder="1" applyAlignment="1">
      <alignment horizontal="right" wrapText="1"/>
    </xf>
    <xf numFmtId="0" fontId="102" fillId="0" borderId="7" xfId="0" applyFont="1" applyBorder="1" applyAlignment="1">
      <alignment horizontal="center" wrapText="1"/>
    </xf>
    <xf numFmtId="0" fontId="117" fillId="54" borderId="35" xfId="0" applyFont="1" applyFill="1" applyBorder="1" applyAlignment="1">
      <alignment horizontal="center" wrapText="1"/>
    </xf>
    <xf numFmtId="166" fontId="102" fillId="0" borderId="7" xfId="764" applyNumberFormat="1" applyFont="1" applyFill="1" applyBorder="1" applyAlignment="1">
      <alignment wrapText="1"/>
    </xf>
    <xf numFmtId="166" fontId="102" fillId="51" borderId="7" xfId="764" applyNumberFormat="1" applyFont="1" applyFill="1" applyBorder="1" applyAlignment="1">
      <alignment horizontal="right" wrapText="1"/>
    </xf>
    <xf numFmtId="164" fontId="109" fillId="0" borderId="35" xfId="0" applyNumberFormat="1" applyFont="1" applyBorder="1" applyAlignment="1">
      <alignment horizontal="right" wrapText="1"/>
    </xf>
    <xf numFmtId="0" fontId="109" fillId="0" borderId="35" xfId="0" applyFont="1" applyBorder="1" applyAlignment="1">
      <alignment horizontal="center" wrapText="1"/>
    </xf>
    <xf numFmtId="0" fontId="125" fillId="52" borderId="48" xfId="0" applyFont="1" applyFill="1" applyBorder="1" applyAlignment="1">
      <alignment horizontal="center" vertical="center" wrapText="1"/>
    </xf>
    <xf numFmtId="164" fontId="125" fillId="52" borderId="49" xfId="0" applyNumberFormat="1" applyFont="1" applyFill="1" applyBorder="1" applyAlignment="1">
      <alignment horizontal="center" vertical="center" wrapText="1"/>
    </xf>
    <xf numFmtId="0" fontId="125" fillId="52" borderId="49" xfId="0" applyFont="1" applyFill="1" applyBorder="1" applyAlignment="1">
      <alignment horizontal="center" vertical="center" wrapText="1"/>
    </xf>
    <xf numFmtId="0" fontId="125" fillId="52" borderId="50" xfId="0" applyFont="1" applyFill="1" applyBorder="1" applyAlignment="1">
      <alignment horizontal="center" vertical="center" wrapText="1"/>
    </xf>
    <xf numFmtId="0" fontId="101" fillId="0" borderId="28" xfId="0" applyFont="1" applyBorder="1" applyAlignment="1">
      <alignment vertical="center" wrapText="1"/>
    </xf>
    <xf numFmtId="165" fontId="103" fillId="0" borderId="23" xfId="589" applyNumberFormat="1" applyFont="1" applyFill="1" applyBorder="1" applyAlignment="1">
      <alignment horizontal="left" vertical="top"/>
    </xf>
    <xf numFmtId="0" fontId="102" fillId="0" borderId="29" xfId="0" applyFont="1" applyBorder="1" applyAlignment="1">
      <alignment horizontal="left" vertical="center" wrapText="1"/>
    </xf>
    <xf numFmtId="0" fontId="98" fillId="56" borderId="23" xfId="589" applyNumberFormat="1" applyFont="1" applyFill="1" applyBorder="1" applyAlignment="1">
      <alignment horizontal="left" vertical="top" wrapText="1"/>
    </xf>
    <xf numFmtId="0" fontId="104" fillId="0" borderId="29" xfId="0" applyFont="1" applyBorder="1" applyAlignment="1">
      <alignment vertical="center" wrapText="1"/>
    </xf>
    <xf numFmtId="166" fontId="118" fillId="52" borderId="51" xfId="0" applyNumberFormat="1" applyFont="1" applyFill="1" applyBorder="1" applyAlignment="1">
      <alignment vertical="top" wrapText="1"/>
    </xf>
    <xf numFmtId="166" fontId="118" fillId="52" borderId="52" xfId="0" applyNumberFormat="1" applyFont="1" applyFill="1" applyBorder="1" applyAlignment="1">
      <alignment horizontal="center" vertical="center" wrapText="1"/>
    </xf>
    <xf numFmtId="0" fontId="101" fillId="0" borderId="29" xfId="0" applyFont="1" applyBorder="1" applyAlignment="1">
      <alignment vertical="center" wrapText="1"/>
    </xf>
    <xf numFmtId="0" fontId="102" fillId="0" borderId="29" xfId="0" applyFont="1" applyBorder="1" applyAlignment="1">
      <alignment vertical="center" wrapText="1"/>
    </xf>
    <xf numFmtId="0" fontId="102" fillId="0" borderId="30" xfId="0" applyFont="1" applyBorder="1" applyAlignment="1">
      <alignment vertical="center"/>
    </xf>
    <xf numFmtId="0" fontId="98" fillId="56" borderId="23" xfId="0" applyFont="1" applyFill="1" applyBorder="1" applyAlignment="1">
      <alignment horizontal="left" vertical="top" wrapText="1"/>
    </xf>
    <xf numFmtId="166" fontId="118" fillId="52" borderId="51" xfId="0" applyNumberFormat="1" applyFont="1" applyFill="1" applyBorder="1" applyAlignment="1">
      <alignment vertical="center" wrapText="1"/>
    </xf>
    <xf numFmtId="166" fontId="118" fillId="52" borderId="52" xfId="0" applyNumberFormat="1" applyFont="1" applyFill="1" applyBorder="1" applyAlignment="1">
      <alignment vertical="center" wrapText="1"/>
    </xf>
    <xf numFmtId="0" fontId="102" fillId="0" borderId="29" xfId="0" applyFont="1" applyBorder="1" applyAlignment="1">
      <alignment horizontal="left" wrapText="1"/>
    </xf>
    <xf numFmtId="166" fontId="118" fillId="52" borderId="53" xfId="0" applyNumberFormat="1" applyFont="1" applyFill="1" applyBorder="1" applyAlignment="1">
      <alignment vertical="center" wrapText="1"/>
    </xf>
    <xf numFmtId="0" fontId="101" fillId="0" borderId="29" xfId="0" applyFont="1" applyBorder="1" applyAlignment="1">
      <alignment horizontal="left" vertical="center"/>
    </xf>
    <xf numFmtId="0" fontId="109" fillId="0" borderId="51" xfId="0" applyFont="1" applyBorder="1" applyAlignment="1">
      <alignment horizontal="left" wrapText="1"/>
    </xf>
    <xf numFmtId="0" fontId="118" fillId="0" borderId="51" xfId="0" applyFont="1" applyBorder="1" applyAlignment="1">
      <alignment horizontal="left" vertical="top" wrapText="1"/>
    </xf>
    <xf numFmtId="165" fontId="103" fillId="0" borderId="23" xfId="589" applyNumberFormat="1" applyFont="1" applyFill="1" applyBorder="1" applyAlignment="1">
      <alignment horizontal="center" vertical="center"/>
    </xf>
    <xf numFmtId="0" fontId="117" fillId="0" borderId="51" xfId="0" applyFont="1" applyBorder="1" applyAlignment="1">
      <alignment horizontal="left" vertical="top" wrapText="1"/>
    </xf>
    <xf numFmtId="0" fontId="118" fillId="55" borderId="54" xfId="0" applyFont="1" applyFill="1" applyBorder="1" applyAlignment="1">
      <alignment vertical="top" wrapText="1"/>
    </xf>
    <xf numFmtId="0" fontId="118" fillId="55" borderId="55" xfId="0" applyFont="1" applyFill="1" applyBorder="1" applyAlignment="1">
      <alignment vertical="top" wrapText="1"/>
    </xf>
    <xf numFmtId="166" fontId="118" fillId="55" borderId="55" xfId="0" applyNumberFormat="1" applyFont="1" applyFill="1" applyBorder="1" applyAlignment="1">
      <alignment vertical="top" wrapText="1"/>
    </xf>
    <xf numFmtId="0" fontId="118" fillId="55" borderId="56" xfId="0" applyFont="1" applyFill="1" applyBorder="1" applyAlignment="1">
      <alignment vertical="top" wrapText="1"/>
    </xf>
    <xf numFmtId="0" fontId="117" fillId="0" borderId="51" xfId="0" applyFont="1" applyBorder="1" applyAlignment="1">
      <alignment vertical="center"/>
    </xf>
    <xf numFmtId="0" fontId="117" fillId="0" borderId="54" xfId="0" applyFont="1" applyBorder="1" applyAlignment="1">
      <alignment vertical="center"/>
    </xf>
    <xf numFmtId="166" fontId="102" fillId="0" borderId="31" xfId="0" applyNumberFormat="1" applyFont="1" applyBorder="1" applyAlignment="1">
      <alignment vertical="center"/>
    </xf>
    <xf numFmtId="166" fontId="102" fillId="0" borderId="32" xfId="0" applyNumberFormat="1" applyFont="1" applyBorder="1" applyAlignment="1">
      <alignment vertical="center"/>
    </xf>
    <xf numFmtId="166" fontId="118" fillId="57" borderId="51" xfId="0" applyNumberFormat="1" applyFont="1" applyFill="1" applyBorder="1" applyAlignment="1">
      <alignment vertical="center" wrapText="1"/>
    </xf>
    <xf numFmtId="166" fontId="118" fillId="57" borderId="35" xfId="0" applyNumberFormat="1" applyFont="1" applyFill="1" applyBorder="1" applyAlignment="1">
      <alignment vertical="center" wrapText="1"/>
    </xf>
    <xf numFmtId="166" fontId="118" fillId="57" borderId="52" xfId="0" applyNumberFormat="1" applyFont="1" applyFill="1" applyBorder="1" applyAlignment="1">
      <alignment vertical="center" wrapText="1"/>
    </xf>
    <xf numFmtId="49" fontId="126" fillId="0" borderId="0" xfId="589" applyNumberFormat="1" applyFont="1" applyFill="1" applyBorder="1" applyAlignment="1">
      <alignment wrapText="1"/>
    </xf>
    <xf numFmtId="0" fontId="127" fillId="0" borderId="0" xfId="0" applyFont="1"/>
    <xf numFmtId="0" fontId="128" fillId="0" borderId="0" xfId="0" applyFont="1"/>
    <xf numFmtId="0" fontId="129" fillId="0" borderId="0" xfId="0" applyFont="1"/>
    <xf numFmtId="0" fontId="127" fillId="54" borderId="0" xfId="0" applyFont="1" applyFill="1"/>
    <xf numFmtId="0" fontId="127" fillId="54" borderId="0" xfId="0" applyFont="1" applyFill="1" applyAlignment="1">
      <alignment wrapText="1"/>
    </xf>
    <xf numFmtId="49" fontId="130" fillId="0" borderId="0" xfId="589" applyNumberFormat="1" applyFont="1" applyFill="1" applyBorder="1" applyAlignment="1">
      <alignment wrapText="1"/>
    </xf>
    <xf numFmtId="165" fontId="127" fillId="0" borderId="0" xfId="589" applyNumberFormat="1" applyFont="1" applyFill="1" applyBorder="1"/>
    <xf numFmtId="165" fontId="130" fillId="0" borderId="44" xfId="0" applyNumberFormat="1" applyFont="1" applyBorder="1" applyAlignment="1">
      <alignment horizontal="center" vertical="center" wrapText="1"/>
    </xf>
    <xf numFmtId="49" fontId="130" fillId="0" borderId="24" xfId="0" applyNumberFormat="1" applyFont="1" applyBorder="1" applyAlignment="1">
      <alignment horizontal="left" vertical="top" wrapText="1"/>
    </xf>
    <xf numFmtId="49" fontId="130" fillId="0" borderId="27" xfId="0" applyNumberFormat="1" applyFont="1" applyBorder="1" applyAlignment="1">
      <alignment horizontal="left" vertical="top" wrapText="1"/>
    </xf>
    <xf numFmtId="49" fontId="132" fillId="0" borderId="24" xfId="0" applyNumberFormat="1" applyFont="1" applyBorder="1" applyAlignment="1">
      <alignment horizontal="left" vertical="top" wrapText="1"/>
    </xf>
    <xf numFmtId="49" fontId="132" fillId="0" borderId="25" xfId="0" applyNumberFormat="1" applyFont="1" applyBorder="1" applyAlignment="1">
      <alignment horizontal="left" vertical="top" wrapText="1"/>
    </xf>
    <xf numFmtId="165" fontId="132" fillId="0" borderId="47" xfId="0" applyNumberFormat="1" applyFont="1" applyBorder="1" applyAlignment="1">
      <alignment wrapText="1"/>
    </xf>
    <xf numFmtId="49" fontId="130" fillId="0" borderId="44" xfId="0" applyNumberFormat="1" applyFont="1" applyBorder="1" applyAlignment="1">
      <alignment horizontal="left" vertical="top" wrapText="1"/>
    </xf>
    <xf numFmtId="0" fontId="131" fillId="0" borderId="45" xfId="0" applyFont="1" applyBorder="1" applyAlignment="1">
      <alignment horizontal="left" vertical="top"/>
    </xf>
    <xf numFmtId="49" fontId="130" fillId="0" borderId="24" xfId="0" applyNumberFormat="1" applyFont="1" applyBorder="1" applyAlignment="1">
      <alignment horizontal="left" vertical="top" wrapText="1"/>
    </xf>
    <xf numFmtId="0" fontId="131" fillId="0" borderId="26" xfId="0" applyFont="1" applyBorder="1" applyAlignment="1">
      <alignment horizontal="left" vertical="top"/>
    </xf>
    <xf numFmtId="0" fontId="131" fillId="0" borderId="45" xfId="0" applyFont="1" applyBorder="1" applyAlignment="1">
      <alignment horizontal="left" vertical="top" wrapText="1"/>
    </xf>
    <xf numFmtId="0" fontId="131" fillId="0" borderId="46" xfId="0" applyFont="1" applyBorder="1" applyAlignment="1">
      <alignment horizontal="left" vertical="top" wrapText="1"/>
    </xf>
    <xf numFmtId="0" fontId="131" fillId="0" borderId="26" xfId="0" applyFont="1" applyBorder="1" applyAlignment="1">
      <alignment horizontal="left" vertical="top" wrapText="1"/>
    </xf>
    <xf numFmtId="0" fontId="119" fillId="53" borderId="41" xfId="0" applyFont="1" applyFill="1" applyBorder="1" applyAlignment="1">
      <alignment horizontal="center" vertical="top" wrapText="1"/>
    </xf>
    <xf numFmtId="0" fontId="119" fillId="53" borderId="42" xfId="0" applyFont="1" applyFill="1" applyBorder="1" applyAlignment="1">
      <alignment horizontal="center" vertical="top" wrapText="1"/>
    </xf>
    <xf numFmtId="0" fontId="119" fillId="53" borderId="43" xfId="0" applyFont="1" applyFill="1" applyBorder="1" applyAlignment="1">
      <alignment horizontal="center" vertical="top" wrapText="1"/>
    </xf>
    <xf numFmtId="0" fontId="124" fillId="53" borderId="41" xfId="0" applyFont="1" applyFill="1" applyBorder="1" applyAlignment="1">
      <alignment horizontal="center" vertical="center" wrapText="1"/>
    </xf>
    <xf numFmtId="0" fontId="131" fillId="0" borderId="25" xfId="0" applyFont="1" applyBorder="1" applyAlignment="1">
      <alignment horizontal="left" vertical="top" wrapText="1"/>
    </xf>
    <xf numFmtId="0" fontId="118" fillId="55" borderId="38" xfId="0" applyFont="1" applyFill="1" applyBorder="1" applyAlignment="1">
      <alignment horizontal="center" vertical="center"/>
    </xf>
    <xf numFmtId="0" fontId="118" fillId="55" borderId="39" xfId="0" applyFont="1" applyFill="1" applyBorder="1" applyAlignment="1">
      <alignment horizontal="center" vertical="center"/>
    </xf>
    <xf numFmtId="0" fontId="118" fillId="55" borderId="40" xfId="0" applyFont="1" applyFill="1" applyBorder="1" applyAlignment="1">
      <alignment horizontal="center" vertical="center"/>
    </xf>
    <xf numFmtId="0" fontId="1" fillId="0" borderId="42" xfId="0" applyFont="1" applyBorder="1" applyAlignment="1"/>
    <xf numFmtId="0" fontId="1" fillId="0" borderId="43" xfId="0" applyFont="1" applyBorder="1" applyAlignment="1"/>
  </cellXfs>
  <cellStyles count="1792">
    <cellStyle name=" 1" xfId="1" xr:uid="{B6C5686D-806C-43FE-B121-F0CC7C6D2512}"/>
    <cellStyle name=" 1 2" xfId="2" xr:uid="{B39C67D8-0182-48FC-BED3-ACA5167CFDE2}"/>
    <cellStyle name=" 1 3" xfId="3" xr:uid="{F4D737FE-D5FE-45C2-A022-7FF8920611A0}"/>
    <cellStyle name="1" xfId="4" xr:uid="{8916A533-9E8F-4473-86D1-EABD253B6D09}"/>
    <cellStyle name="1 2" xfId="5" xr:uid="{478441E0-D428-4479-A20D-B348E599AAA2}"/>
    <cellStyle name="20 % - Accent1" xfId="6" xr:uid="{801FAA5A-EF42-4FCA-96F8-1FD6ABDA0D76}"/>
    <cellStyle name="20 % - Accent1 2" xfId="7" xr:uid="{93534D70-6A1C-4461-85D2-4E058A2D3295}"/>
    <cellStyle name="20 % - Accent1 2 2" xfId="8" xr:uid="{646F6FFE-C493-4C6E-96DD-D2B0E313DCEE}"/>
    <cellStyle name="20 % - Accent1 3" xfId="9" xr:uid="{9BE76B92-4322-435A-AFE6-97C1180ADB4F}"/>
    <cellStyle name="20 % - Accent2" xfId="10" xr:uid="{58F42700-D05F-4F67-8990-3429C5AC31F4}"/>
    <cellStyle name="20 % - Accent2 2" xfId="11" xr:uid="{C7E82EC1-D6CC-4E1E-AA13-F0E6BED4B60F}"/>
    <cellStyle name="20 % - Accent2 2 2" xfId="12" xr:uid="{3002488E-32A3-4171-A9A4-9BAC855F97A1}"/>
    <cellStyle name="20 % - Accent2 3" xfId="13" xr:uid="{ADEBD9F3-8524-4371-8BCF-9045361A4979}"/>
    <cellStyle name="20 % - Accent3" xfId="14" xr:uid="{5A5D3E79-7217-4D6C-9B12-BDED85D9C107}"/>
    <cellStyle name="20 % - Accent3 2" xfId="15" xr:uid="{3EE8A735-A064-4DDF-AD55-15EB392C55CA}"/>
    <cellStyle name="20 % - Accent3 2 2" xfId="16" xr:uid="{5670E2EF-D1B2-4BB1-B850-0C556EABE037}"/>
    <cellStyle name="20 % - Accent3 3" xfId="17" xr:uid="{67762649-6CEB-4B63-933D-FCC6792B1BEC}"/>
    <cellStyle name="20 % - Accent4" xfId="18" xr:uid="{4A2413BC-7D7A-4A58-A4DE-A7907569A0B9}"/>
    <cellStyle name="20 % - Accent4 2" xfId="19" xr:uid="{2E6D1AB1-AC46-4D3F-9EF2-51B199D35B76}"/>
    <cellStyle name="20 % - Accent4 2 2" xfId="20" xr:uid="{C971509F-6B08-4590-A2C3-E9F01B2081EA}"/>
    <cellStyle name="20 % - Accent4 3" xfId="21" xr:uid="{5E73B61C-8B55-41BE-B067-9BFE2C172DA4}"/>
    <cellStyle name="20 % - Accent5" xfId="22" xr:uid="{C216B01B-33ED-45EE-A4E0-1E365AE5E256}"/>
    <cellStyle name="20 % - Accent5 2" xfId="23" xr:uid="{EB1E46EE-A6B9-4FD9-AB65-7E41CC736204}"/>
    <cellStyle name="20 % - Accent5 2 2" xfId="24" xr:uid="{5954BC46-E48E-4F8E-8F79-1C22FC16E919}"/>
    <cellStyle name="20 % - Accent5 3" xfId="25" xr:uid="{EA4221D9-69EF-4D34-8997-0E912F94A463}"/>
    <cellStyle name="20 % - Accent6" xfId="26" xr:uid="{6020D740-0CBC-4A02-9C47-495C9D70D3FC}"/>
    <cellStyle name="20 % - Accent6 2" xfId="27" xr:uid="{FDC52D35-8A95-4891-8A13-247CD2FC7DA3}"/>
    <cellStyle name="20 % - Accent6 2 2" xfId="28" xr:uid="{F47D67EF-F4E8-4627-8F0D-A12A02F55A4D}"/>
    <cellStyle name="20 % - Accent6 3" xfId="29" xr:uid="{3EBF637E-7570-4D29-97FE-84FF330262F4}"/>
    <cellStyle name="20% - Accent1 2" xfId="30" xr:uid="{439B0140-1753-4A0A-96B0-EA030125C01F}"/>
    <cellStyle name="20% - Accent1 2 2" xfId="31" xr:uid="{9E3D74BA-2A34-44DA-A9CC-DF2BEA88CDA2}"/>
    <cellStyle name="20% - Accent1 3" xfId="32" xr:uid="{89296A08-7A03-46F5-AFDF-5C9814B76B88}"/>
    <cellStyle name="20% - Accent1 4" xfId="33" xr:uid="{68997B5D-C186-4A01-BCA7-B36161E0D797}"/>
    <cellStyle name="20% - Accent1 4 2" xfId="34" xr:uid="{0C827281-D569-4008-9CA1-A56A3CEF9E23}"/>
    <cellStyle name="20% - Accent1 4 3" xfId="35" xr:uid="{8431A96A-FFD8-4B8F-99A5-84EFD6D712BB}"/>
    <cellStyle name="20% - Accent1 4 4" xfId="36" xr:uid="{8E804FDC-0017-40CA-BE69-30B040798A35}"/>
    <cellStyle name="20% - Accent1 5" xfId="37" xr:uid="{43B81C01-8D9F-4C76-B997-42B7B8D732A7}"/>
    <cellStyle name="20% - Accent1 5 2" xfId="38" xr:uid="{B2C94650-D631-4FF6-B3FF-E11A8D5D4876}"/>
    <cellStyle name="20% - Accent1 5 3" xfId="39" xr:uid="{74076FC9-5E46-4273-A52A-5804364D37BC}"/>
    <cellStyle name="20% - Accent1 5 4" xfId="40" xr:uid="{44574C05-A911-4D96-8991-8544477063A0}"/>
    <cellStyle name="20% - Accent1 6" xfId="41" xr:uid="{0CCED95C-A743-4751-810B-48EF7E5E3D66}"/>
    <cellStyle name="20% - Accent1 6 2" xfId="42" xr:uid="{50611C30-B1B0-4678-AD6D-928FF43BAA20}"/>
    <cellStyle name="20% - Accent1 6 3" xfId="43" xr:uid="{6AC0FF44-8BAE-4E55-ADA3-DE46A118936E}"/>
    <cellStyle name="20% - Accent1 6 4" xfId="44" xr:uid="{4D2FA204-7947-4A90-862A-74C9781D6395}"/>
    <cellStyle name="20% - Accent1 7" xfId="45" xr:uid="{D41CC8EB-3E74-4349-A6DB-A29BC40E18A7}"/>
    <cellStyle name="20% - Accent1 7 2" xfId="46" xr:uid="{84095859-B564-40CC-AA81-4704D8B67C79}"/>
    <cellStyle name="20% - Accent1 7 3" xfId="47" xr:uid="{CF67CF66-6FD9-49CC-9CB8-05556EF36164}"/>
    <cellStyle name="20% - Accent1 7 4" xfId="48" xr:uid="{2CADD6AB-DF20-480A-B6CF-537A0122087B}"/>
    <cellStyle name="20% - Accent1 8" xfId="49" xr:uid="{B7F3CD72-31DD-4556-A2DC-52768B5BF001}"/>
    <cellStyle name="20% - Accent1 8 2" xfId="50" xr:uid="{DFA8836E-411F-4E53-BA72-3A0723A5767E}"/>
    <cellStyle name="20% - Accent1 8 3" xfId="51" xr:uid="{67323C26-16CE-4E41-BC1F-43449F91704E}"/>
    <cellStyle name="20% - Accent1 8 4" xfId="52" xr:uid="{FD4E38BF-837D-4049-8E59-FDC4F81C8B36}"/>
    <cellStyle name="20% - Accent2 2" xfId="53" xr:uid="{B1F85B3A-0C0B-40C4-A9A0-3F85DABC286E}"/>
    <cellStyle name="20% - Accent2 2 2" xfId="54" xr:uid="{D1DA447F-1630-4C0D-AEA8-BAAC60653262}"/>
    <cellStyle name="20% - Accent2 3" xfId="55" xr:uid="{B7B7912C-EB4B-4215-BE64-253A1508B699}"/>
    <cellStyle name="20% - Accent2 4" xfId="56" xr:uid="{093FE60B-27E5-4ACD-8A81-FA53BA69CC79}"/>
    <cellStyle name="20% - Accent2 4 2" xfId="57" xr:uid="{65655D7E-68AC-4A09-AA84-732FEF62B738}"/>
    <cellStyle name="20% - Accent2 4 3" xfId="58" xr:uid="{911A49F6-E51B-4F39-BBDD-96DFC6FADC44}"/>
    <cellStyle name="20% - Accent2 4 4" xfId="59" xr:uid="{6914D781-815C-4F5E-B885-5D6EBFC2D70A}"/>
    <cellStyle name="20% - Accent2 5" xfId="60" xr:uid="{0EA6EAFF-975D-4FC3-84FF-02AEC5C0E36C}"/>
    <cellStyle name="20% - Accent2 5 2" xfId="61" xr:uid="{A2C558E4-3EFA-4CAA-BB96-8875165FC3A5}"/>
    <cellStyle name="20% - Accent2 5 3" xfId="62" xr:uid="{0ED18462-80B9-46EA-8C94-DC3786297798}"/>
    <cellStyle name="20% - Accent2 5 4" xfId="63" xr:uid="{8C18A2D6-7093-4374-9875-AFC91F097FD0}"/>
    <cellStyle name="20% - Accent2 6" xfId="64" xr:uid="{1498F82B-C516-4FA7-9B29-2C6179131E54}"/>
    <cellStyle name="20% - Accent2 6 2" xfId="65" xr:uid="{0DC5DB5B-D42C-4546-9BE7-677256DB8670}"/>
    <cellStyle name="20% - Accent2 6 3" xfId="66" xr:uid="{7A253C41-1253-472C-BF9D-3AFD6497D8E6}"/>
    <cellStyle name="20% - Accent2 6 4" xfId="67" xr:uid="{36048E95-4417-419F-AC7A-1E2DB778BDAE}"/>
    <cellStyle name="20% - Accent2 7" xfId="68" xr:uid="{E2EB8FD7-060B-4CEA-93AA-81213534D2EB}"/>
    <cellStyle name="20% - Accent2 7 2" xfId="69" xr:uid="{96C9E5F2-4425-4834-A9BB-BD3C325775E4}"/>
    <cellStyle name="20% - Accent2 7 3" xfId="70" xr:uid="{55179FEC-D0BA-4279-B598-4E67C8FACBAC}"/>
    <cellStyle name="20% - Accent2 7 4" xfId="71" xr:uid="{62FAD5D7-C13D-47F5-8CDF-5C0E633DC0A8}"/>
    <cellStyle name="20% - Accent2 8" xfId="72" xr:uid="{208620DD-0E84-428D-9C34-A2ECEF448ED3}"/>
    <cellStyle name="20% - Accent2 8 2" xfId="73" xr:uid="{CB6C4EE8-7D38-48E7-8A77-AD54A914C83F}"/>
    <cellStyle name="20% - Accent2 8 3" xfId="74" xr:uid="{B655E334-F0E6-4E52-8C09-8E9D04C093A0}"/>
    <cellStyle name="20% - Accent2 8 4" xfId="75" xr:uid="{89941ABF-DC97-44B1-819A-79629B1E34A0}"/>
    <cellStyle name="20% - Accent3 2" xfId="76" xr:uid="{3EF21D69-EE14-41A4-B933-18107C12DA33}"/>
    <cellStyle name="20% - Accent3 2 2" xfId="77" xr:uid="{4E4C29D9-4914-45A0-826F-D3AF179FA9EC}"/>
    <cellStyle name="20% - Accent3 3" xfId="78" xr:uid="{3CCF9B1B-F1B0-4C3F-A7AB-0E153567C138}"/>
    <cellStyle name="20% - Accent3 4" xfId="79" xr:uid="{7AF9F424-F804-4FFC-9F3E-CB39017CA36C}"/>
    <cellStyle name="20% - Accent3 4 2" xfId="80" xr:uid="{6FFE86AE-98E4-44BF-92CE-E439182DD32F}"/>
    <cellStyle name="20% - Accent3 4 3" xfId="81" xr:uid="{6883B11B-9A32-4D1A-94E4-31B2CDFE4B82}"/>
    <cellStyle name="20% - Accent3 4 4" xfId="82" xr:uid="{AF11B298-1CEC-40C8-8CB6-A81F02E7F50F}"/>
    <cellStyle name="20% - Accent3 5" xfId="83" xr:uid="{56AB8BFA-7421-4446-9FF5-564CF6ACD4A4}"/>
    <cellStyle name="20% - Accent3 5 2" xfId="84" xr:uid="{6CE19E8B-B44A-4D79-B63E-36C1F7262EBE}"/>
    <cellStyle name="20% - Accent3 5 3" xfId="85" xr:uid="{223E1E33-312B-4656-A9FB-85062C74E517}"/>
    <cellStyle name="20% - Accent3 5 4" xfId="86" xr:uid="{EFCEED70-BEF3-4962-B304-8FA2086534AC}"/>
    <cellStyle name="20% - Accent3 6" xfId="87" xr:uid="{5656F4E6-46DE-4F14-BBC0-0711922DCC12}"/>
    <cellStyle name="20% - Accent3 6 2" xfId="88" xr:uid="{039795A2-D57A-4596-A65D-C4847C1688EE}"/>
    <cellStyle name="20% - Accent3 6 3" xfId="89" xr:uid="{D98C28B7-7478-4D7C-B2A2-36E3A01B9BBE}"/>
    <cellStyle name="20% - Accent3 6 4" xfId="90" xr:uid="{B699D175-241B-4CB1-89B5-40EB23EA6C7C}"/>
    <cellStyle name="20% - Accent3 7" xfId="91" xr:uid="{6C2FFDE9-306D-483D-9B40-16FF8B0F9BCD}"/>
    <cellStyle name="20% - Accent3 7 2" xfId="92" xr:uid="{96A4F80E-7E08-418F-93DF-14608B50C426}"/>
    <cellStyle name="20% - Accent3 7 3" xfId="93" xr:uid="{6E12CE1B-509D-465F-8C29-203B833D8FF4}"/>
    <cellStyle name="20% - Accent3 7 4" xfId="94" xr:uid="{E94F99A3-201D-4EA6-A563-8BA50869D96B}"/>
    <cellStyle name="20% - Accent3 8" xfId="95" xr:uid="{1694B021-7EFA-42DA-9519-6C3BF7AF5C55}"/>
    <cellStyle name="20% - Accent3 8 2" xfId="96" xr:uid="{1D75204D-C34E-48F8-B7C2-AE2514F4F6FA}"/>
    <cellStyle name="20% - Accent3 8 3" xfId="97" xr:uid="{3743DBA6-0A81-4D46-AFA0-416A22126FA5}"/>
    <cellStyle name="20% - Accent3 8 4" xfId="98" xr:uid="{DC570D1F-78E1-4F55-9058-2D002C1F1DBC}"/>
    <cellStyle name="20% - Accent4 2" xfId="99" xr:uid="{E7FA12C7-1136-4584-B996-51E1F6785FEF}"/>
    <cellStyle name="20% - Accent4 2 2" xfId="100" xr:uid="{EC5FC462-D1FD-4E2C-AACE-12B357C337DD}"/>
    <cellStyle name="20% - Accent4 3" xfId="101" xr:uid="{AA92A39D-B03E-4AB9-BEF6-47AC0AA90B1D}"/>
    <cellStyle name="20% - Accent4 4" xfId="102" xr:uid="{810A24AC-69B4-4420-BE20-75794041AC41}"/>
    <cellStyle name="20% - Accent4 4 2" xfId="103" xr:uid="{A4880639-48DF-44B0-AB60-E4783C711421}"/>
    <cellStyle name="20% - Accent4 4 3" xfId="104" xr:uid="{EF6869A1-A7A7-48E4-9F3F-32D0385B340A}"/>
    <cellStyle name="20% - Accent4 4 4" xfId="105" xr:uid="{8173CD67-CA86-4185-934F-82B8E205AE08}"/>
    <cellStyle name="20% - Accent4 5" xfId="106" xr:uid="{D31A8304-999B-4DD3-B1DE-2B48FE2DE6E2}"/>
    <cellStyle name="20% - Accent4 5 2" xfId="107" xr:uid="{CB3A1006-38F1-4494-9823-349878180149}"/>
    <cellStyle name="20% - Accent4 5 3" xfId="108" xr:uid="{B57BB0FA-30E2-4F6B-8759-D93C0349704E}"/>
    <cellStyle name="20% - Accent4 5 4" xfId="109" xr:uid="{E82CCF84-2F1A-42FF-8137-D775EDBDF9BC}"/>
    <cellStyle name="20% - Accent4 6" xfId="110" xr:uid="{B88385E2-D509-4AD0-AD92-ED78CE5A4DFF}"/>
    <cellStyle name="20% - Accent4 6 2" xfId="111" xr:uid="{91D86A36-5BBB-4C2F-B51B-0DD4B3931E1C}"/>
    <cellStyle name="20% - Accent4 6 3" xfId="112" xr:uid="{9A6057EA-C0D9-465E-9DD3-E2BCF9C01783}"/>
    <cellStyle name="20% - Accent4 6 4" xfId="113" xr:uid="{BA5B584E-6C51-405A-A991-BC76BD48DB72}"/>
    <cellStyle name="20% - Accent4 7" xfId="114" xr:uid="{6F7EC73F-B8ED-4E82-BCA5-700401CCD672}"/>
    <cellStyle name="20% - Accent4 7 2" xfId="115" xr:uid="{40645AC4-2651-4193-9E11-501222407769}"/>
    <cellStyle name="20% - Accent4 7 3" xfId="116" xr:uid="{7DC38ED6-E9EE-4719-96FE-6D46FB1F9055}"/>
    <cellStyle name="20% - Accent4 7 4" xfId="117" xr:uid="{0A338BA9-DD82-4D82-B881-7F8D888CCEC4}"/>
    <cellStyle name="20% - Accent4 8" xfId="118" xr:uid="{58E84848-D7A5-4809-8CBA-7D96D3E31825}"/>
    <cellStyle name="20% - Accent4 8 2" xfId="119" xr:uid="{9AB8AC17-94EB-4EB7-8B87-CFA7FDEA750B}"/>
    <cellStyle name="20% - Accent4 8 3" xfId="120" xr:uid="{CF2778B7-E2EC-47EA-AA18-8821C23D3CE9}"/>
    <cellStyle name="20% - Accent4 8 4" xfId="121" xr:uid="{F012F472-BA98-4000-B04C-95755E10A616}"/>
    <cellStyle name="20% - Accent5 2" xfId="122" xr:uid="{1896F39E-95A1-4485-8FFB-13F11462D5B2}"/>
    <cellStyle name="20% - Accent5 2 2" xfId="123" xr:uid="{9352C0ED-B1E9-4B67-8FB5-8B933BB12362}"/>
    <cellStyle name="20% - Accent5 3" xfId="124" xr:uid="{EEE73E12-6EFC-438E-AA0D-F675E3B97A91}"/>
    <cellStyle name="20% - Accent5 4" xfId="125" xr:uid="{09E5DA0D-D5AF-4848-A92C-1DAC443C232E}"/>
    <cellStyle name="20% - Accent5 4 2" xfId="126" xr:uid="{8DF9CA47-D186-4C25-9107-23A7EC6FD11A}"/>
    <cellStyle name="20% - Accent5 4 3" xfId="127" xr:uid="{15E817BA-3A0C-4793-9B2B-ECCE31A7B0E7}"/>
    <cellStyle name="20% - Accent5 4 4" xfId="128" xr:uid="{DA3E0FAD-17A8-4588-889E-BB0A583F23C7}"/>
    <cellStyle name="20% - Accent5 5" xfId="129" xr:uid="{9B86A0EA-99DA-4780-BED2-3CFF8FC6E395}"/>
    <cellStyle name="20% - Accent5 5 2" xfId="130" xr:uid="{69A9A807-CE76-49BF-B221-B43D852E2EE4}"/>
    <cellStyle name="20% - Accent5 5 3" xfId="131" xr:uid="{BE3EE953-E736-4FEC-9A34-D28EAA32ADB4}"/>
    <cellStyle name="20% - Accent5 5 4" xfId="132" xr:uid="{E3A2A62A-1B89-4D2D-BF85-924BC229B9BE}"/>
    <cellStyle name="20% - Accent5 6" xfId="133" xr:uid="{BB54ADA8-B98F-4325-B3E1-13FDB1117860}"/>
    <cellStyle name="20% - Accent5 6 2" xfId="134" xr:uid="{CB3E1D63-C74E-4C64-A436-60591871A76F}"/>
    <cellStyle name="20% - Accent5 6 3" xfId="135" xr:uid="{C339861A-25F7-4743-87FB-09D26346260D}"/>
    <cellStyle name="20% - Accent5 6 4" xfId="136" xr:uid="{F4F1A3BF-1EF7-443D-9685-406A1B190FB2}"/>
    <cellStyle name="20% - Accent5 7" xfId="137" xr:uid="{3A527405-222C-4E30-8E4C-4C00B303EBEE}"/>
    <cellStyle name="20% - Accent5 7 2" xfId="138" xr:uid="{C887DC10-E569-4641-9B18-835EA74F3FAB}"/>
    <cellStyle name="20% - Accent5 7 3" xfId="139" xr:uid="{AE88DA45-FBA3-4DD0-88D3-7C12722D983D}"/>
    <cellStyle name="20% - Accent5 7 4" xfId="140" xr:uid="{4EF9CAA2-C962-4AAB-9987-F550207B6328}"/>
    <cellStyle name="20% - Accent5 8" xfId="141" xr:uid="{22E73765-9D4C-40E3-946E-38C4A619863C}"/>
    <cellStyle name="20% - Accent5 8 2" xfId="142" xr:uid="{218986A8-8091-4D0A-9E8A-FBBED542C121}"/>
    <cellStyle name="20% - Accent5 8 3" xfId="143" xr:uid="{894D190C-4580-49C9-9FD1-C701A767D53A}"/>
    <cellStyle name="20% - Accent5 8 4" xfId="144" xr:uid="{E7A61C11-890D-430C-97B4-C9E9ECF5DCAD}"/>
    <cellStyle name="20% - Accent6 2" xfId="145" xr:uid="{B765FF99-BEC5-4E69-9843-8106221CF0CD}"/>
    <cellStyle name="20% - Accent6 2 2" xfId="146" xr:uid="{59357195-F19B-4C45-A642-499E6178F6D1}"/>
    <cellStyle name="20% - Accent6 3" xfId="147" xr:uid="{E0681C5B-467A-4EC2-94BB-F0AE3FBB63B0}"/>
    <cellStyle name="20% - Accent6 4" xfId="148" xr:uid="{1798DDC5-BC30-4AB2-8D03-45047B9B6A79}"/>
    <cellStyle name="20% - Accent6 4 2" xfId="149" xr:uid="{0CB66F63-F0DD-4B48-9D49-6D45CF90E35A}"/>
    <cellStyle name="20% - Accent6 4 3" xfId="150" xr:uid="{2D195060-AE17-4C4B-B86C-BF1091FAB0B7}"/>
    <cellStyle name="20% - Accent6 4 4" xfId="151" xr:uid="{EA744403-1331-4934-9854-2954389D74D8}"/>
    <cellStyle name="20% - Accent6 5" xfId="152" xr:uid="{D75EF3DE-9237-4F83-88BB-8E95ADF47D44}"/>
    <cellStyle name="20% - Accent6 5 2" xfId="153" xr:uid="{C556AE0E-EBB5-4E29-93CF-69C19A53F1DD}"/>
    <cellStyle name="20% - Accent6 5 3" xfId="154" xr:uid="{B8DBBEB0-28FF-464D-938E-0F6E8773B444}"/>
    <cellStyle name="20% - Accent6 5 4" xfId="155" xr:uid="{CDE9B8B4-F6F4-466F-9A30-4FE9FADCEBA1}"/>
    <cellStyle name="20% - Accent6 6" xfId="156" xr:uid="{096B7960-4FAC-4A42-B7B3-9DD1D706B6AC}"/>
    <cellStyle name="20% - Accent6 6 2" xfId="157" xr:uid="{5445BFFA-7A10-4A0E-9E67-5EBC8F9782D0}"/>
    <cellStyle name="20% - Accent6 6 3" xfId="158" xr:uid="{BC0B95E2-97FC-4168-ACF1-5113CA5072A0}"/>
    <cellStyle name="20% - Accent6 6 4" xfId="159" xr:uid="{B125F40D-EBB6-4C83-8F75-12829DAB84F8}"/>
    <cellStyle name="20% - Accent6 7" xfId="160" xr:uid="{3E80FE5D-B91C-4BDA-9DB9-1787DFC250C0}"/>
    <cellStyle name="20% - Accent6 7 2" xfId="161" xr:uid="{04192A82-EDCA-41C0-B7C9-419AB6EF1A34}"/>
    <cellStyle name="20% - Accent6 7 3" xfId="162" xr:uid="{97174607-0E45-4BD3-886C-302D749E8136}"/>
    <cellStyle name="20% - Accent6 7 4" xfId="163" xr:uid="{FABA771D-7346-4284-8930-B021FC5166F2}"/>
    <cellStyle name="20% - Accent6 8" xfId="164" xr:uid="{4C61BE2A-6CA9-4C8C-AFB5-9F782FAC70BA}"/>
    <cellStyle name="20% - Accent6 8 2" xfId="165" xr:uid="{9E754ED2-51AF-4058-ADDE-1F67F7B30201}"/>
    <cellStyle name="20% - Accent6 8 3" xfId="166" xr:uid="{8B30F5C1-8679-44CC-95BB-A2A62F58221C}"/>
    <cellStyle name="20% - Accent6 8 4" xfId="167" xr:uid="{6D0D42E4-0AA1-4423-99FF-56AADE17B7B3}"/>
    <cellStyle name="20% - Colore 1" xfId="168" xr:uid="{CD4BB1C1-DE10-4EBB-937A-374B73E05716}"/>
    <cellStyle name="20% - Colore 1 2" xfId="169" xr:uid="{237CE82E-B109-4F97-994A-DF120A544FF8}"/>
    <cellStyle name="20% - Colore 2" xfId="170" xr:uid="{3DA5FB3C-46E2-4B9A-99E3-DEBDDD8E44D2}"/>
    <cellStyle name="20% - Colore 2 2" xfId="171" xr:uid="{826B7B74-308C-4240-85B5-3CD2131C19B8}"/>
    <cellStyle name="20% - Colore 3" xfId="172" xr:uid="{B8893216-A76F-4D1A-856D-BFF51D6B0277}"/>
    <cellStyle name="20% - Colore 3 2" xfId="173" xr:uid="{807A19C4-49A9-4A90-BC3A-AF889F0DE482}"/>
    <cellStyle name="20% - Colore 4" xfId="174" xr:uid="{F1130047-FFA1-4CE1-B679-B0B81952560A}"/>
    <cellStyle name="20% - Colore 4 2" xfId="175" xr:uid="{1B908C3C-6AB1-4197-BCE4-89DBBDA04CA3}"/>
    <cellStyle name="20% - Colore 5" xfId="176" xr:uid="{AD48C91D-C281-4147-B25D-B507C81790A9}"/>
    <cellStyle name="20% - Colore 5 2" xfId="177" xr:uid="{A55860FE-B814-4C6C-BF85-2AC1438293C8}"/>
    <cellStyle name="20% - Colore 6" xfId="178" xr:uid="{5ACFBB55-F69B-4C56-B283-D7783E085652}"/>
    <cellStyle name="20% - Colore 6 2" xfId="179" xr:uid="{76A49766-1F3C-4BF8-B60F-938F24D5D041}"/>
    <cellStyle name="20% - Énfasis1" xfId="180" xr:uid="{6DF1AC09-C0A8-4AB4-9F5B-EF36695D990B}"/>
    <cellStyle name="20% - Énfasis1 2" xfId="181" xr:uid="{341CB22A-C3CC-4797-877E-F39322D7E96A}"/>
    <cellStyle name="20% - Énfasis1 2 2" xfId="182" xr:uid="{7CF5B8C2-51A3-4312-A4FE-50316AD2C106}"/>
    <cellStyle name="20% - Énfasis1 2 3" xfId="183" xr:uid="{474C7128-9291-4F0E-8A23-CF072685526F}"/>
    <cellStyle name="20% - Énfasis1 3" xfId="184" xr:uid="{AFEA769E-4FA2-466F-B88C-656A21D64CAB}"/>
    <cellStyle name="20% - Énfasis1 4" xfId="185" xr:uid="{599374CF-FEE8-4682-BA47-F92CEE562A18}"/>
    <cellStyle name="20% - Énfasis2" xfId="186" xr:uid="{060ECC7A-5689-4761-8A36-07F8145676BE}"/>
    <cellStyle name="20% - Énfasis2 2" xfId="187" xr:uid="{6B8CFA4F-9AA5-430E-81F1-6855A81299D4}"/>
    <cellStyle name="20% - Énfasis2 2 2" xfId="188" xr:uid="{76466CE0-08E3-4A58-9CA5-EDD27DA5FB94}"/>
    <cellStyle name="20% - Énfasis2 2 3" xfId="189" xr:uid="{2564D6A6-9F9F-45E6-AB9D-47473392D0BD}"/>
    <cellStyle name="20% - Énfasis2 3" xfId="190" xr:uid="{BC16AF53-162D-443B-A9FA-E0C5F35854FD}"/>
    <cellStyle name="20% - Énfasis2 4" xfId="191" xr:uid="{766D1C95-DF46-4E60-BA1B-B3D29AF7CEDC}"/>
    <cellStyle name="20% - Énfasis3" xfId="192" xr:uid="{4BFB662F-0A9E-45BE-9C30-625897E075EF}"/>
    <cellStyle name="20% - Énfasis3 2" xfId="193" xr:uid="{A47F90D6-A843-4824-B0E3-DF87F3B05F30}"/>
    <cellStyle name="20% - Énfasis3 2 2" xfId="194" xr:uid="{1CB9AA3A-C23F-4352-A340-AC72CD5FC0D1}"/>
    <cellStyle name="20% - Énfasis3 2 3" xfId="195" xr:uid="{4A2BC519-A53E-47B2-A19A-7C57A4A5847D}"/>
    <cellStyle name="20% - Énfasis3 3" xfId="196" xr:uid="{28B09046-DE38-485B-8FD5-72CBAF3104CA}"/>
    <cellStyle name="20% - Énfasis3 4" xfId="197" xr:uid="{792C67F3-9040-49C8-A405-1464E62EDF6F}"/>
    <cellStyle name="20% - Énfasis4" xfId="198" xr:uid="{D5B02C93-7734-4D4B-A5F3-C0C9587CC157}"/>
    <cellStyle name="20% - Énfasis4 2" xfId="199" xr:uid="{184D023F-972F-4CBE-AC2F-56FF0D1B6134}"/>
    <cellStyle name="20% - Énfasis4 2 2" xfId="200" xr:uid="{63B661AD-084F-4A99-B67E-EF4C0FD68C73}"/>
    <cellStyle name="20% - Énfasis4 2 3" xfId="201" xr:uid="{5F83182B-4337-4EAD-9FCF-0F014A14B1BB}"/>
    <cellStyle name="20% - Énfasis4 3" xfId="202" xr:uid="{C0929D7E-88FB-4D6D-9276-5FD53B11B207}"/>
    <cellStyle name="20% - Énfasis4 4" xfId="203" xr:uid="{81E27129-5108-42C8-8429-89995FF1E34F}"/>
    <cellStyle name="20% - Énfasis5" xfId="204" xr:uid="{931F4A4C-A845-4202-9217-F5704A93DE09}"/>
    <cellStyle name="20% - Énfasis5 2" xfId="205" xr:uid="{AE995A0E-EF36-442D-9127-8031E514990A}"/>
    <cellStyle name="20% - Énfasis5 2 2" xfId="206" xr:uid="{8558A515-A658-4FE5-B847-DB2D46B037D1}"/>
    <cellStyle name="20% - Énfasis5 2 3" xfId="207" xr:uid="{3C24E49B-55C2-447D-AE1C-C29A18DCD05D}"/>
    <cellStyle name="20% - Énfasis5 3" xfId="208" xr:uid="{05369132-0BA1-4372-B4BF-99F3562FB3C2}"/>
    <cellStyle name="20% - Énfasis5 4" xfId="209" xr:uid="{3CE27F28-E9E7-46B8-93E4-387C8E1E8B16}"/>
    <cellStyle name="20% - Énfasis6" xfId="210" xr:uid="{AE583940-E187-4B10-AC3E-37003B2386D2}"/>
    <cellStyle name="20% - Énfasis6 2" xfId="211" xr:uid="{8B928EDD-D858-4531-B01A-6E65DDA317C6}"/>
    <cellStyle name="20% - Énfasis6 2 2" xfId="212" xr:uid="{CCDE4831-FF69-44E7-B017-5461EA26BEE8}"/>
    <cellStyle name="20% - Énfasis6 2 3" xfId="213" xr:uid="{8DC2BD9B-710E-40CF-837E-E8C1EA10836D}"/>
    <cellStyle name="20% - Énfasis6 3" xfId="214" xr:uid="{194B57A5-2CBD-48E9-9B83-D6ECF63E42AA}"/>
    <cellStyle name="20% - Énfasis6 4" xfId="215" xr:uid="{2FC9666E-400D-4510-83B1-D60A0C948254}"/>
    <cellStyle name="20% - アクセント 1" xfId="216" xr:uid="{89BC6952-2C5F-42E2-9930-CABA13DAAFB7}"/>
    <cellStyle name="20% - アクセント 2" xfId="217" xr:uid="{86D8A23C-5462-4117-98D3-91C36CEB0BAF}"/>
    <cellStyle name="20% - アクセント 3" xfId="218" xr:uid="{F4929675-2B70-42B6-A220-A205766CA288}"/>
    <cellStyle name="20% - アクセント 4" xfId="219" xr:uid="{112A0BD4-21A1-4BE0-811D-D22C833EA2FC}"/>
    <cellStyle name="20% - アクセント 5" xfId="220" xr:uid="{37087835-0C09-4771-9E7B-971B8BE6BCBE}"/>
    <cellStyle name="20% - アクセント 6" xfId="221" xr:uid="{93EFA489-98B3-487C-8567-2EDEB0B9247F}"/>
    <cellStyle name="40 % - Accent1" xfId="222" xr:uid="{BD2DFCE5-C2EB-4EEA-AC21-DD957F4E24D5}"/>
    <cellStyle name="40 % - Accent1 2" xfId="223" xr:uid="{04EA332E-13C6-4536-BEC4-CE47D5CC1E69}"/>
    <cellStyle name="40 % - Accent1 2 2" xfId="224" xr:uid="{7284B1E6-072A-4322-9B8D-7D9290D37A74}"/>
    <cellStyle name="40 % - Accent1 3" xfId="225" xr:uid="{09FBAC5B-201D-4642-A8BA-192DF75E5827}"/>
    <cellStyle name="40 % - Accent2" xfId="226" xr:uid="{7D947EF7-28AB-4895-A243-64C0446A6DEE}"/>
    <cellStyle name="40 % - Accent2 2" xfId="227" xr:uid="{1E247918-06AC-41F3-86EA-C60F5D64A0B5}"/>
    <cellStyle name="40 % - Accent2 2 2" xfId="228" xr:uid="{4090F205-E94F-4A8F-89D4-E406E0FF33AA}"/>
    <cellStyle name="40 % - Accent2 3" xfId="229" xr:uid="{E706DEF5-63C7-4EF7-B8EA-2FE32DE7142E}"/>
    <cellStyle name="40 % - Accent3" xfId="230" xr:uid="{723E2E9E-A250-476A-AC55-94CC3FFCCC38}"/>
    <cellStyle name="40 % - Accent3 2" xfId="231" xr:uid="{59E62486-3EE7-4BB3-8B69-FEA28C37DA06}"/>
    <cellStyle name="40 % - Accent3 2 2" xfId="232" xr:uid="{032DD789-3D11-4CCE-B1C1-9A809351AB58}"/>
    <cellStyle name="40 % - Accent3 3" xfId="233" xr:uid="{4972323E-214A-425D-87AE-4948548FF773}"/>
    <cellStyle name="40 % - Accent4" xfId="234" xr:uid="{3EA51600-A258-4901-A14F-4D3D4A9CE638}"/>
    <cellStyle name="40 % - Accent4 2" xfId="235" xr:uid="{48E670BD-DFFE-4159-BB6C-29C6813604BD}"/>
    <cellStyle name="40 % - Accent4 2 2" xfId="236" xr:uid="{6FFF0510-9F17-4595-8C04-BCB0690A7160}"/>
    <cellStyle name="40 % - Accent4 3" xfId="237" xr:uid="{A270ABA3-E42C-4DF3-BDBE-7FAE99B1F359}"/>
    <cellStyle name="40 % - Accent5" xfId="238" xr:uid="{A154C08D-8A7A-4814-9C65-9BD55A79BB11}"/>
    <cellStyle name="40 % - Accent5 2" xfId="239" xr:uid="{3ABDC11A-F0B8-4CD5-A6A0-8849010A99AD}"/>
    <cellStyle name="40 % - Accent5 2 2" xfId="240" xr:uid="{C9DC9661-6474-408D-8633-6C868657A6E4}"/>
    <cellStyle name="40 % - Accent5 3" xfId="241" xr:uid="{E08BDE72-3F04-4712-8B5C-77D4C2530897}"/>
    <cellStyle name="40 % - Accent6" xfId="242" xr:uid="{8938224D-3785-4BE0-AEFF-604A81E2CE92}"/>
    <cellStyle name="40 % - Accent6 2" xfId="243" xr:uid="{DC3C9174-FBD2-4993-B80C-3F6EC15B39D8}"/>
    <cellStyle name="40 % - Accent6 2 2" xfId="244" xr:uid="{3AEDBE11-71B1-425E-8E9F-1C635DCA36D1}"/>
    <cellStyle name="40 % - Accent6 3" xfId="245" xr:uid="{E49D0D02-89C8-4F0B-B55E-6AB70AD8AB98}"/>
    <cellStyle name="40% - Accent1 2" xfId="246" xr:uid="{204F27FF-BC32-42F0-AFC1-7DEB96494176}"/>
    <cellStyle name="40% - Accent1 2 2" xfId="247" xr:uid="{2D9D462D-A922-4ED2-BA7C-11FD601D0864}"/>
    <cellStyle name="40% - Accent1 3" xfId="248" xr:uid="{50E6FEAD-AE43-4A23-954E-8A7235100E77}"/>
    <cellStyle name="40% - Accent1 4" xfId="249" xr:uid="{80C16AB3-FCED-4BC3-A180-6F28C79E8262}"/>
    <cellStyle name="40% - Accent1 4 2" xfId="250" xr:uid="{7C4ECC46-F68D-413E-9B2B-2485AF7116F2}"/>
    <cellStyle name="40% - Accent1 4 3" xfId="251" xr:uid="{69CB0206-CDF7-413B-AB6C-1288D09429DE}"/>
    <cellStyle name="40% - Accent1 4 4" xfId="252" xr:uid="{5F35B9E2-A4FE-4BFF-8D76-BEC9C26BC13F}"/>
    <cellStyle name="40% - Accent1 5" xfId="253" xr:uid="{9E8D530A-997B-49BC-B409-1FDB225BA229}"/>
    <cellStyle name="40% - Accent1 5 2" xfId="254" xr:uid="{462047DB-305D-4862-9D39-C71563C33CEF}"/>
    <cellStyle name="40% - Accent1 5 3" xfId="255" xr:uid="{88A8845B-F118-4172-B91B-4E8C6E96970E}"/>
    <cellStyle name="40% - Accent1 5 4" xfId="256" xr:uid="{A96B3433-3B7D-471D-BA9D-1CFEBABCACE3}"/>
    <cellStyle name="40% - Accent1 6" xfId="257" xr:uid="{5CAC4184-7C70-4AB7-8FC0-BDB9989EE492}"/>
    <cellStyle name="40% - Accent1 6 2" xfId="258" xr:uid="{E70F8869-960F-4FEF-8ED0-CE03AB47BC01}"/>
    <cellStyle name="40% - Accent1 6 3" xfId="259" xr:uid="{E4BDDF25-3472-41ED-9214-0D8CE5821F2D}"/>
    <cellStyle name="40% - Accent1 6 4" xfId="260" xr:uid="{45E10F00-2DF9-4152-BD5F-025DC55A9F79}"/>
    <cellStyle name="40% - Accent1 7" xfId="261" xr:uid="{8189DD3F-EBDE-4FF2-A02A-FD12A2B29228}"/>
    <cellStyle name="40% - Accent1 7 2" xfId="262" xr:uid="{2884313A-1247-4EEC-B2B1-51F5FA35FD2C}"/>
    <cellStyle name="40% - Accent1 7 3" xfId="263" xr:uid="{C2AF4534-36E0-4A6C-9A97-5BC22B9928E4}"/>
    <cellStyle name="40% - Accent1 7 4" xfId="264" xr:uid="{0D1C9F52-77B7-4128-84F9-6D9077B9D91C}"/>
    <cellStyle name="40% - Accent1 8" xfId="265" xr:uid="{F6E59852-74F5-4998-B477-A34DAFE0088E}"/>
    <cellStyle name="40% - Accent1 8 2" xfId="266" xr:uid="{DEAAA50C-16A3-4C00-812D-1556A7A345C4}"/>
    <cellStyle name="40% - Accent1 8 3" xfId="267" xr:uid="{7F569D7D-F1DA-4187-B09F-DE88FF264AC7}"/>
    <cellStyle name="40% - Accent1 8 4" xfId="268" xr:uid="{00BD0C96-F645-4EA1-91E1-574141EAE58C}"/>
    <cellStyle name="40% - Accent2 2" xfId="269" xr:uid="{BDB62F2F-10B6-452A-BD43-0E2605CAEF4D}"/>
    <cellStyle name="40% - Accent2 2 2" xfId="270" xr:uid="{FA18508E-58DA-4963-B8F2-53BCAB4437BD}"/>
    <cellStyle name="40% - Accent2 3" xfId="271" xr:uid="{AF220466-4038-4DAF-8EF4-6A429EEF3E7D}"/>
    <cellStyle name="40% - Accent2 4" xfId="272" xr:uid="{EB358FB9-F2EA-4CD0-8C94-C9C2752C6139}"/>
    <cellStyle name="40% - Accent2 4 2" xfId="273" xr:uid="{83F8A4B3-B895-46CF-996E-F0E34DA39E5A}"/>
    <cellStyle name="40% - Accent2 4 3" xfId="274" xr:uid="{4209302A-DDCF-465A-9F42-9B6A8572D353}"/>
    <cellStyle name="40% - Accent2 4 4" xfId="275" xr:uid="{A46C1658-485C-41DA-949C-D4D4E9624D27}"/>
    <cellStyle name="40% - Accent2 5" xfId="276" xr:uid="{558EC800-3A95-466A-874B-48DF2E9C082F}"/>
    <cellStyle name="40% - Accent2 5 2" xfId="277" xr:uid="{D6299352-0B16-4233-84F8-001B9B628838}"/>
    <cellStyle name="40% - Accent2 5 3" xfId="278" xr:uid="{FACC9CB9-9874-4FB8-9E62-1AD316283D02}"/>
    <cellStyle name="40% - Accent2 5 4" xfId="279" xr:uid="{95E798CF-790E-4A95-AD8B-44E4939313B0}"/>
    <cellStyle name="40% - Accent2 6" xfId="280" xr:uid="{CCB35A83-BAAC-4915-8074-4A99EE0AC186}"/>
    <cellStyle name="40% - Accent2 6 2" xfId="281" xr:uid="{1F498836-DAF1-4A5E-A384-31F0406D497D}"/>
    <cellStyle name="40% - Accent2 6 3" xfId="282" xr:uid="{6DD4076B-BB78-4771-A97B-070F177C6853}"/>
    <cellStyle name="40% - Accent2 6 4" xfId="283" xr:uid="{5E95F211-8244-46B4-87EA-D90E6219D7C7}"/>
    <cellStyle name="40% - Accent2 7" xfId="284" xr:uid="{825EBDCD-64D1-495F-ACE0-7B6B59230DD9}"/>
    <cellStyle name="40% - Accent2 7 2" xfId="285" xr:uid="{3BF7BD00-0E9F-4C4F-84D7-D74097D61330}"/>
    <cellStyle name="40% - Accent2 7 3" xfId="286" xr:uid="{D580FD90-59EA-4B2B-AD17-0F8261055666}"/>
    <cellStyle name="40% - Accent2 7 4" xfId="287" xr:uid="{CE4B2965-F581-4F59-BA7D-D070A2F5014E}"/>
    <cellStyle name="40% - Accent2 8" xfId="288" xr:uid="{B4DA5441-575A-43D2-9E23-CB33F83D1183}"/>
    <cellStyle name="40% - Accent2 8 2" xfId="289" xr:uid="{3D620982-01BF-4605-917E-11D85E6A25D8}"/>
    <cellStyle name="40% - Accent2 8 3" xfId="290" xr:uid="{106BC4CD-8BD6-4038-A7EE-6B5B12447A60}"/>
    <cellStyle name="40% - Accent2 8 4" xfId="291" xr:uid="{59C1F9B1-D814-4A4D-B706-9B69D81F4835}"/>
    <cellStyle name="40% - Accent3 2" xfId="292" xr:uid="{D9718D29-E1A7-4868-BA83-6423B3F39A90}"/>
    <cellStyle name="40% - Accent3 2 2" xfId="293" xr:uid="{FBB234FB-FD5E-4752-B6BD-1DEE23B2536F}"/>
    <cellStyle name="40% - Accent3 3" xfId="294" xr:uid="{71DDC988-C49B-4692-8373-15B2B94397E7}"/>
    <cellStyle name="40% - Accent3 4" xfId="295" xr:uid="{E8EA900B-98E4-43E0-A329-180524FA086C}"/>
    <cellStyle name="40% - Accent3 4 2" xfId="296" xr:uid="{5DCE218E-80EE-4C8D-B199-390D56C11412}"/>
    <cellStyle name="40% - Accent3 4 3" xfId="297" xr:uid="{4FB2249B-B3C5-45EA-A3C4-ECFDD15F4250}"/>
    <cellStyle name="40% - Accent3 4 4" xfId="298" xr:uid="{F2FB4227-F0F8-4C45-BCD4-6E5E699B884A}"/>
    <cellStyle name="40% - Accent3 5" xfId="299" xr:uid="{C96754E5-130A-4A13-8B89-B4FB45D206D7}"/>
    <cellStyle name="40% - Accent3 5 2" xfId="300" xr:uid="{1661F5BE-576E-4381-8C55-7ADC5FE398E8}"/>
    <cellStyle name="40% - Accent3 5 3" xfId="301" xr:uid="{EBE41E67-2E52-4A8D-A782-AEF3D4E19045}"/>
    <cellStyle name="40% - Accent3 5 4" xfId="302" xr:uid="{29402EB4-EEAD-4CA7-96D9-A62ADF7CB2F5}"/>
    <cellStyle name="40% - Accent3 6" xfId="303" xr:uid="{3E57493F-D261-4439-B942-34F922E1F4AB}"/>
    <cellStyle name="40% - Accent3 6 2" xfId="304" xr:uid="{9F4B514A-2820-4692-9019-29064574531B}"/>
    <cellStyle name="40% - Accent3 6 3" xfId="305" xr:uid="{612337B1-BD2B-4BE0-86D3-2B3FAB355DEA}"/>
    <cellStyle name="40% - Accent3 6 4" xfId="306" xr:uid="{EA6F5FA7-BF77-42B2-B2A3-C1CC7E181A34}"/>
    <cellStyle name="40% - Accent3 7" xfId="307" xr:uid="{374F0D69-01B1-452B-B030-61D4DCAFCC69}"/>
    <cellStyle name="40% - Accent3 7 2" xfId="308" xr:uid="{6BE80C56-FDB6-4FC0-BC1A-6E3C5DA7A6A2}"/>
    <cellStyle name="40% - Accent3 7 3" xfId="309" xr:uid="{7A14A1D0-37AB-44AE-B751-75FC9CC417B2}"/>
    <cellStyle name="40% - Accent3 7 4" xfId="310" xr:uid="{A322E73F-06A2-42C7-9759-8C7FE0757677}"/>
    <cellStyle name="40% - Accent3 8" xfId="311" xr:uid="{4C1F65B5-2AC4-48B9-AAC1-80A1C0ADAD4F}"/>
    <cellStyle name="40% - Accent3 8 2" xfId="312" xr:uid="{1A0D4F31-8F5B-47E7-89EA-DF31EDAE54DF}"/>
    <cellStyle name="40% - Accent3 8 3" xfId="313" xr:uid="{1E236A47-9804-4469-B762-01EE3B869586}"/>
    <cellStyle name="40% - Accent3 8 4" xfId="314" xr:uid="{2FB7A698-0101-420A-B9EF-E3CAC53D2453}"/>
    <cellStyle name="40% - Accent4 2" xfId="315" xr:uid="{70F37E9A-E183-4E8A-BFF2-4CD145E38D56}"/>
    <cellStyle name="40% - Accent4 2 2" xfId="316" xr:uid="{2262EC86-0200-4E3A-BC90-167C24B545C0}"/>
    <cellStyle name="40% - Accent4 3" xfId="317" xr:uid="{9AC0BC6A-3D25-4E80-91CD-29BA912A5800}"/>
    <cellStyle name="40% - Accent4 4" xfId="318" xr:uid="{5DE7E267-F1AF-4D25-89C3-D82BAEEEE0E1}"/>
    <cellStyle name="40% - Accent4 4 2" xfId="319" xr:uid="{E9876AF9-E076-4376-AFCD-0C1FADD4F112}"/>
    <cellStyle name="40% - Accent4 4 3" xfId="320" xr:uid="{F0B03204-20C4-4FCB-96DA-9B9B5A6F3AC1}"/>
    <cellStyle name="40% - Accent4 4 4" xfId="321" xr:uid="{291294FF-2E17-4227-A4DD-9D20FC6EE8BD}"/>
    <cellStyle name="40% - Accent4 5" xfId="322" xr:uid="{87E03F84-649A-475A-9B6E-4B6A1CF35E14}"/>
    <cellStyle name="40% - Accent4 5 2" xfId="323" xr:uid="{82087190-0142-4B26-B7CB-BDBCDD1AF47A}"/>
    <cellStyle name="40% - Accent4 5 3" xfId="324" xr:uid="{F8ED23F2-8547-4ABB-9262-F17B6D2C8C2A}"/>
    <cellStyle name="40% - Accent4 5 4" xfId="325" xr:uid="{77DE4A84-39FC-4D5F-B6DA-7C0F7F456A1E}"/>
    <cellStyle name="40% - Accent4 6" xfId="326" xr:uid="{CA95A5D1-046C-4DE6-BDB0-B7FB130D50F1}"/>
    <cellStyle name="40% - Accent4 6 2" xfId="327" xr:uid="{AD867B18-E8B3-441F-883C-D24CEB37ED4F}"/>
    <cellStyle name="40% - Accent4 6 3" xfId="328" xr:uid="{B3EAF7BF-3172-4854-9C38-AF00E361B6EA}"/>
    <cellStyle name="40% - Accent4 6 4" xfId="329" xr:uid="{BAEDB401-A062-4AA8-AC5E-C41B57C08198}"/>
    <cellStyle name="40% - Accent4 7" xfId="330" xr:uid="{6AA78E6A-5E8A-4627-8C60-8C0685081220}"/>
    <cellStyle name="40% - Accent4 7 2" xfId="331" xr:uid="{B0D87825-08CF-406F-908F-9428DBFA3EF9}"/>
    <cellStyle name="40% - Accent4 7 3" xfId="332" xr:uid="{306202FF-36C2-4177-897E-2511CF9B5E54}"/>
    <cellStyle name="40% - Accent4 7 4" xfId="333" xr:uid="{253D0815-41A1-4BFC-8621-77A1076EBAFA}"/>
    <cellStyle name="40% - Accent4 8" xfId="334" xr:uid="{09750ADF-DB61-4DD9-8F46-8E86E80DA01A}"/>
    <cellStyle name="40% - Accent4 8 2" xfId="335" xr:uid="{FA945814-AEE7-4BD6-B790-7BFA49174CF6}"/>
    <cellStyle name="40% - Accent4 8 3" xfId="336" xr:uid="{ECFA1FF2-1C8B-41D1-BA47-648EA1CD7A4D}"/>
    <cellStyle name="40% - Accent4 8 4" xfId="337" xr:uid="{C77D8954-0848-40BE-A65E-70E50B8F16EC}"/>
    <cellStyle name="40% - Accent5 2" xfId="338" xr:uid="{C383C6E8-DA78-4AE3-A1AF-44A81055C565}"/>
    <cellStyle name="40% - Accent5 2 2" xfId="339" xr:uid="{CF89CDB6-D2BA-43B6-BA6E-50A3A385C7B5}"/>
    <cellStyle name="40% - Accent5 3" xfId="340" xr:uid="{1A5F5022-0CF5-486B-8DC3-ADAB82315021}"/>
    <cellStyle name="40% - Accent5 4" xfId="341" xr:uid="{25B83A24-992C-4139-BE7F-5221DADAAD50}"/>
    <cellStyle name="40% - Accent5 4 2" xfId="342" xr:uid="{0354B151-7545-4EE4-8719-033EF1E6DB13}"/>
    <cellStyle name="40% - Accent5 4 3" xfId="343" xr:uid="{273D4D2C-F14A-43B1-A47E-DCD225A3B58B}"/>
    <cellStyle name="40% - Accent5 4 4" xfId="344" xr:uid="{FDF91950-A72A-484D-BE47-58A51F7E03DF}"/>
    <cellStyle name="40% - Accent5 5" xfId="345" xr:uid="{80055EF2-47B7-4F09-9C89-4DD3AFCB3EAB}"/>
    <cellStyle name="40% - Accent5 5 2" xfId="346" xr:uid="{791B9988-C36F-4052-B991-4D39D797DACC}"/>
    <cellStyle name="40% - Accent5 5 3" xfId="347" xr:uid="{01F5C573-C82C-49FD-80E4-27810B63A6A3}"/>
    <cellStyle name="40% - Accent5 5 4" xfId="348" xr:uid="{65AF1944-540B-49A1-AFC8-6B9F967F3E68}"/>
    <cellStyle name="40% - Accent5 6" xfId="349" xr:uid="{18C725E3-AF7C-47C8-93C6-35FA8FC472E1}"/>
    <cellStyle name="40% - Accent5 6 2" xfId="350" xr:uid="{D8C49215-16BF-4D41-8728-CCB7524B88BD}"/>
    <cellStyle name="40% - Accent5 6 3" xfId="351" xr:uid="{AA7E983C-0A66-4A59-92E1-C8C4F8DB176C}"/>
    <cellStyle name="40% - Accent5 6 4" xfId="352" xr:uid="{7E1C4D57-C75D-4CAD-A143-71BBCF304CE1}"/>
    <cellStyle name="40% - Accent5 7" xfId="353" xr:uid="{93DAC9CE-83D9-4BAC-B397-834EC6A654D3}"/>
    <cellStyle name="40% - Accent5 7 2" xfId="354" xr:uid="{808F523C-08EB-41C4-A387-F1AB71AE1B7F}"/>
    <cellStyle name="40% - Accent5 7 3" xfId="355" xr:uid="{482852BC-895B-41BA-AA0B-16D06DDDE3DB}"/>
    <cellStyle name="40% - Accent5 7 4" xfId="356" xr:uid="{2458E5A0-ADF1-43B8-BDCD-8DD09F6738B3}"/>
    <cellStyle name="40% - Accent5 8" xfId="357" xr:uid="{A417198C-538E-44B6-AC6B-036B163521B4}"/>
    <cellStyle name="40% - Accent5 8 2" xfId="358" xr:uid="{84056026-DD97-4164-BAFA-ED5235D2680C}"/>
    <cellStyle name="40% - Accent5 8 3" xfId="359" xr:uid="{11060EA8-9E9C-48E8-A5FE-38B1A6B1A5E7}"/>
    <cellStyle name="40% - Accent5 8 4" xfId="360" xr:uid="{84A939CA-D2E3-443D-A66F-6AAB4F0AEC44}"/>
    <cellStyle name="40% - Accent6 2" xfId="361" xr:uid="{9AC2DFE6-DA0A-4119-A377-AC45AEBF7356}"/>
    <cellStyle name="40% - Accent6 2 2" xfId="362" xr:uid="{B4C7E2FC-90B2-4DAE-A03D-4C2E5B0264BB}"/>
    <cellStyle name="40% - Accent6 3" xfId="363" xr:uid="{9115E022-99E8-4FFE-8172-757583691BDD}"/>
    <cellStyle name="40% - Accent6 4" xfId="364" xr:uid="{78C0C6A5-F53E-42BA-A2B8-E38EC8EEEE56}"/>
    <cellStyle name="40% - Accent6 4 2" xfId="365" xr:uid="{B4058AEF-6167-4184-9BD0-27964FDA3DDE}"/>
    <cellStyle name="40% - Accent6 4 3" xfId="366" xr:uid="{DA4C53A1-E82B-4739-A3C8-C5D05B3C8302}"/>
    <cellStyle name="40% - Accent6 4 4" xfId="367" xr:uid="{8177C02A-A126-4F96-873E-093DEB65479E}"/>
    <cellStyle name="40% - Accent6 5" xfId="368" xr:uid="{8FA712BD-D731-4F34-A135-F7477168909C}"/>
    <cellStyle name="40% - Accent6 5 2" xfId="369" xr:uid="{805E8F79-81FF-4DE4-83C6-6535B1715C06}"/>
    <cellStyle name="40% - Accent6 5 3" xfId="370" xr:uid="{C9A26686-46BA-44E0-8493-07EE93E5AE65}"/>
    <cellStyle name="40% - Accent6 5 4" xfId="371" xr:uid="{D2B8EF55-0F17-4E9C-A9A7-0D7AC98F2593}"/>
    <cellStyle name="40% - Accent6 6" xfId="372" xr:uid="{8207FEAE-63E2-480F-80CE-6990C326281E}"/>
    <cellStyle name="40% - Accent6 6 2" xfId="373" xr:uid="{F3192C07-E502-48C3-A3C9-716FBB82E3A5}"/>
    <cellStyle name="40% - Accent6 6 3" xfId="374" xr:uid="{A668E87F-274C-4FB4-B002-DA8CA322DF7E}"/>
    <cellStyle name="40% - Accent6 6 4" xfId="375" xr:uid="{CD48C1AB-497F-4DA4-8ABC-22C95AD57D11}"/>
    <cellStyle name="40% - Accent6 7" xfId="376" xr:uid="{6BA494DE-2642-4D7A-8150-F06EC0352E4E}"/>
    <cellStyle name="40% - Accent6 7 2" xfId="377" xr:uid="{4B1169A4-2B21-4601-86D2-8ECCF971E731}"/>
    <cellStyle name="40% - Accent6 7 3" xfId="378" xr:uid="{8783413E-1A6E-4E6C-9E6A-0185F31A7E6B}"/>
    <cellStyle name="40% - Accent6 7 4" xfId="379" xr:uid="{DD7ADFCE-A6D2-4173-A771-DD0C786BF89F}"/>
    <cellStyle name="40% - Accent6 8" xfId="380" xr:uid="{1057E188-128D-4CAD-9E02-9092D916424D}"/>
    <cellStyle name="40% - Accent6 8 2" xfId="381" xr:uid="{8D5FAE17-FE64-4201-9AD4-6AA63EA81DBF}"/>
    <cellStyle name="40% - Accent6 8 3" xfId="382" xr:uid="{9321F341-A422-43C3-A90F-7939622BDDCA}"/>
    <cellStyle name="40% - Accent6 8 4" xfId="383" xr:uid="{39E7B6C8-B7AD-4660-BA9E-2506F8ACDE8E}"/>
    <cellStyle name="40% - Colore 1" xfId="384" xr:uid="{EAEAC86F-75DB-4B3F-A570-6398C4A30A6B}"/>
    <cellStyle name="40% - Colore 1 2" xfId="385" xr:uid="{2B35EDA2-6481-42E5-8919-53DE48D6DAFF}"/>
    <cellStyle name="40% - Colore 2" xfId="386" xr:uid="{2BE39875-0A04-430D-9FEB-C19B96A8CE25}"/>
    <cellStyle name="40% - Colore 2 2" xfId="387" xr:uid="{7268DB1E-2299-4AAD-91C7-6AF7410958F3}"/>
    <cellStyle name="40% - Colore 3" xfId="388" xr:uid="{B0AE25F2-8810-4AFF-AA7C-96E861AA2EE0}"/>
    <cellStyle name="40% - Colore 3 2" xfId="389" xr:uid="{4248AE0D-3FAE-496D-8339-DC5BEAEA8ED4}"/>
    <cellStyle name="40% - Colore 4" xfId="390" xr:uid="{F4590D00-18FF-44D7-B51C-AAA0FDC67EC4}"/>
    <cellStyle name="40% - Colore 4 2" xfId="391" xr:uid="{FBD5EE0E-8808-496E-8E0B-C4EF548AB50D}"/>
    <cellStyle name="40% - Colore 5" xfId="392" xr:uid="{5B4AB000-8A54-400A-A6E0-F6612E61D01D}"/>
    <cellStyle name="40% - Colore 5 2" xfId="393" xr:uid="{8C328E32-A23B-4456-9C67-AF2FA355186C}"/>
    <cellStyle name="40% - Colore 6" xfId="394" xr:uid="{89462777-27A3-408B-BD63-76C8A90FEFA6}"/>
    <cellStyle name="40% - Colore 6 2" xfId="395" xr:uid="{0CEEE9A7-AF89-4DA2-AD1F-94779330144F}"/>
    <cellStyle name="40% - Énfasis1" xfId="396" xr:uid="{3EEFE60B-9BB1-4F31-A16F-2FDDD816BEB8}"/>
    <cellStyle name="40% - Énfasis1 2" xfId="397" xr:uid="{686A2924-BCF2-4F8A-8881-DF0A88D8F9BC}"/>
    <cellStyle name="40% - Énfasis1 2 2" xfId="398" xr:uid="{C8E8F0C5-99D6-4A8B-8F82-9C6B81287AA9}"/>
    <cellStyle name="40% - Énfasis1 2 3" xfId="399" xr:uid="{F29AB95B-6651-4FC1-87C0-CAF74AB36D37}"/>
    <cellStyle name="40% - Énfasis1 3" xfId="400" xr:uid="{25A495E6-0F08-40EF-A0C3-C08C3A00984A}"/>
    <cellStyle name="40% - Énfasis1 4" xfId="401" xr:uid="{13D80E53-54FF-45D7-A204-DA7DB4FE900A}"/>
    <cellStyle name="40% - Énfasis2" xfId="402" xr:uid="{BC8F8A46-203A-4492-A600-72A60DAA48C8}"/>
    <cellStyle name="40% - Énfasis2 2" xfId="403" xr:uid="{045AEFA5-4E23-47B8-B7AA-969FBAA36EAE}"/>
    <cellStyle name="40% - Énfasis2 2 2" xfId="404" xr:uid="{4DC77F86-9CFB-4922-BDB3-46A0338EF592}"/>
    <cellStyle name="40% - Énfasis2 2 3" xfId="405" xr:uid="{51601FDF-00B3-460D-8B79-F9A250166178}"/>
    <cellStyle name="40% - Énfasis2 3" xfId="406" xr:uid="{E87BC1DE-72D0-417A-BF56-B31E8FDD60F4}"/>
    <cellStyle name="40% - Énfasis2 4" xfId="407" xr:uid="{7D73A1A6-E9C6-40C6-AF67-A831CA4A1F06}"/>
    <cellStyle name="40% - Énfasis3" xfId="408" xr:uid="{A99D4894-7257-4109-98C1-B78D653BF355}"/>
    <cellStyle name="40% - Énfasis3 2" xfId="409" xr:uid="{CC699BC2-3C07-46DE-9D5F-BF55391A6D16}"/>
    <cellStyle name="40% - Énfasis3 2 2" xfId="410" xr:uid="{5F1CB2CC-5E17-4F4A-915B-2CAA8BBC5021}"/>
    <cellStyle name="40% - Énfasis3 2 3" xfId="411" xr:uid="{A8A04D1B-DAA3-43AB-9396-0E82C404DE76}"/>
    <cellStyle name="40% - Énfasis3 3" xfId="412" xr:uid="{D27A6D32-69D8-4D40-AA96-8F130D391BD1}"/>
    <cellStyle name="40% - Énfasis3 4" xfId="413" xr:uid="{C327AB54-EC47-4C56-A859-449978EE5D62}"/>
    <cellStyle name="40% - Énfasis4" xfId="414" xr:uid="{2BF15338-1B09-4CFF-97CC-BAAF695D3E8D}"/>
    <cellStyle name="40% - Énfasis4 2" xfId="415" xr:uid="{02AF9535-0201-41A0-B1A7-627C9127D9AE}"/>
    <cellStyle name="40% - Énfasis4 2 2" xfId="416" xr:uid="{2F450D47-CBE0-458B-A9E8-969A51FAFD2F}"/>
    <cellStyle name="40% - Énfasis4 2 3" xfId="417" xr:uid="{4B9DEC1C-3470-47A7-8654-1B1BFB04C99A}"/>
    <cellStyle name="40% - Énfasis4 3" xfId="418" xr:uid="{213F9E71-CB1B-48C0-8ECC-7BF3E2387672}"/>
    <cellStyle name="40% - Énfasis4 4" xfId="419" xr:uid="{1DD196FA-20B3-41DA-A217-ECB699899780}"/>
    <cellStyle name="40% - Énfasis5" xfId="420" xr:uid="{69912F7A-ABEB-4D44-9756-A6114B90F9C1}"/>
    <cellStyle name="40% - Énfasis5 2" xfId="421" xr:uid="{74513C32-0401-4282-83EC-CCE4F9C7D5EA}"/>
    <cellStyle name="40% - Énfasis5 2 2" xfId="422" xr:uid="{69F049D9-D5A1-4CCD-AB55-26E655FB5D4B}"/>
    <cellStyle name="40% - Énfasis5 2 3" xfId="423" xr:uid="{A5E461E8-7E7F-439B-B8A7-D983917E9BEE}"/>
    <cellStyle name="40% - Énfasis5 3" xfId="424" xr:uid="{591065DE-703E-4E5F-95B6-159536DA80BF}"/>
    <cellStyle name="40% - Énfasis5 4" xfId="425" xr:uid="{522C6AE0-9E75-4D3E-854D-B6CF367BFD1F}"/>
    <cellStyle name="40% - Énfasis6" xfId="426" xr:uid="{92AE7FB3-C9C0-4A71-BE8A-3BF8ECCFC652}"/>
    <cellStyle name="40% - Énfasis6 2" xfId="427" xr:uid="{E717FB19-21BF-4C34-A276-CCE51DD62961}"/>
    <cellStyle name="40% - Énfasis6 2 2" xfId="428" xr:uid="{AD709ACF-8DA1-45FC-8A28-16D6668294CC}"/>
    <cellStyle name="40% - Énfasis6 2 3" xfId="429" xr:uid="{69CCDDB5-F27F-487E-A269-2E39E12428FD}"/>
    <cellStyle name="40% - Énfasis6 3" xfId="430" xr:uid="{0A011093-64D5-40FD-9FEE-D56BB1985F63}"/>
    <cellStyle name="40% - Énfasis6 4" xfId="431" xr:uid="{B9B8E100-9D56-49D1-A4E0-6B6942B963B2}"/>
    <cellStyle name="40% - アクセント 1" xfId="432" xr:uid="{97BA1405-400B-46E9-BEE3-4E580C96A1C0}"/>
    <cellStyle name="40% - アクセント 2" xfId="433" xr:uid="{C79D1C97-928E-47E7-B568-6FEB45B91887}"/>
    <cellStyle name="40% - アクセント 3" xfId="434" xr:uid="{7C4EF4E8-059D-4B9E-A395-5DBBA266E065}"/>
    <cellStyle name="40% - アクセント 4" xfId="435" xr:uid="{243F1968-4925-4918-B899-92C422946AEA}"/>
    <cellStyle name="40% - アクセント 5" xfId="436" xr:uid="{E6089511-E858-488C-A408-3CBA55ACF4D6}"/>
    <cellStyle name="40% - アクセント 6" xfId="437" xr:uid="{B1DF5A34-CA26-4571-9C02-8CC6208C704C}"/>
    <cellStyle name="60 % - Accent1" xfId="438" xr:uid="{7CCABFA2-C9DD-48A3-A140-598F3F4C884F}"/>
    <cellStyle name="60 % - Accent1 2" xfId="439" xr:uid="{FBAD740C-A848-43EA-AF93-0BC0179E118F}"/>
    <cellStyle name="60 % - Accent2" xfId="440" xr:uid="{8EF3E5EA-C663-4293-A9BD-BBE0D09AE6AA}"/>
    <cellStyle name="60 % - Accent2 2" xfId="441" xr:uid="{4196F41F-F1F0-489A-9E64-DF74D03C626A}"/>
    <cellStyle name="60 % - Accent3" xfId="442" xr:uid="{466B0D33-1340-4CE8-B63A-679D82D64FB7}"/>
    <cellStyle name="60 % - Accent3 2" xfId="443" xr:uid="{96CCF003-85E2-47FD-8BF9-2E55D5A38DF6}"/>
    <cellStyle name="60 % - Accent4" xfId="444" xr:uid="{67493E03-3EF3-4607-A1D9-E6CE0630CC60}"/>
    <cellStyle name="60 % - Accent4 2" xfId="445" xr:uid="{0E293AEA-4162-4851-A851-1BB3FBE1A9F9}"/>
    <cellStyle name="60 % - Accent5" xfId="446" xr:uid="{6824D211-2799-46CB-BD12-2351D1BE695C}"/>
    <cellStyle name="60 % - Accent5 2" xfId="447" xr:uid="{964F2F54-B81F-4399-9140-CBB4DBC2C855}"/>
    <cellStyle name="60 % - Accent6" xfId="448" xr:uid="{482AF803-2FD9-40CE-A949-F1BE502F155D}"/>
    <cellStyle name="60 % - Accent6 2" xfId="449" xr:uid="{DE7C27A3-6CA7-489F-B726-A10D4D4B62BC}"/>
    <cellStyle name="60% - Accent1 2" xfId="450" xr:uid="{2706FF77-6280-484A-BE55-4384291AEF4F}"/>
    <cellStyle name="60% - Accent1 2 2" xfId="451" xr:uid="{F83319B4-FC36-45A7-BA59-712D3FAAF523}"/>
    <cellStyle name="60% - Accent2 2" xfId="452" xr:uid="{C6DCA28B-7D84-4B05-8B20-2313836358A5}"/>
    <cellStyle name="60% - Accent2 2 2" xfId="453" xr:uid="{27BB739E-A9A3-4F9D-AAB9-639ABDB82AF4}"/>
    <cellStyle name="60% - Accent3 2" xfId="454" xr:uid="{2CEAF0B6-A526-4DAE-9294-39ED99794871}"/>
    <cellStyle name="60% - Accent3 2 2" xfId="455" xr:uid="{8AFBCA64-155D-4B03-AEB6-793783346722}"/>
    <cellStyle name="60% - Accent4 2" xfId="456" xr:uid="{B23151C6-7C26-4682-882F-3A3BBC4BD259}"/>
    <cellStyle name="60% - Accent4 2 2" xfId="457" xr:uid="{6E7D981B-6D3A-4CFC-906C-1E3457F00E07}"/>
    <cellStyle name="60% - Accent5 2" xfId="458" xr:uid="{4F189A41-D418-4BF3-B4D3-4A6C742C8197}"/>
    <cellStyle name="60% - Accent5 2 2" xfId="459" xr:uid="{100C1D3F-1EDE-43A3-994A-C7C206AEB602}"/>
    <cellStyle name="60% - Accent6 2" xfId="460" xr:uid="{344E81CF-4AFF-4613-97E9-94C062278308}"/>
    <cellStyle name="60% - Accent6 2 2" xfId="461" xr:uid="{B7AD7030-8414-4714-BA52-317E5A086436}"/>
    <cellStyle name="60% - Colore 1" xfId="462" xr:uid="{972092B6-AF22-4C84-8BD0-778CE7B6EA80}"/>
    <cellStyle name="60% - Colore 2" xfId="463" xr:uid="{8866DE13-B03B-44AB-8F8B-0D2B146B901A}"/>
    <cellStyle name="60% - Colore 3" xfId="464" xr:uid="{B491865C-44A1-4648-A918-E632153DE163}"/>
    <cellStyle name="60% - Colore 4" xfId="465" xr:uid="{6FE75403-BEF4-435D-B73B-402593712F53}"/>
    <cellStyle name="60% - Colore 5" xfId="466" xr:uid="{D4EB08AE-27D6-4382-BEA6-8B0DA9C9F623}"/>
    <cellStyle name="60% - Colore 6" xfId="467" xr:uid="{1AFBCC02-9013-4FD7-AFDC-B3A84032DB7B}"/>
    <cellStyle name="60% - Énfasis1" xfId="468" xr:uid="{CA27BD5E-B5D8-48E2-8AD3-59F82A684C8D}"/>
    <cellStyle name="60% - Énfasis2" xfId="469" xr:uid="{632BDCDF-8304-4D22-B02A-D7113E2952A9}"/>
    <cellStyle name="60% - Énfasis3" xfId="470" xr:uid="{109E79F1-C24C-4C85-9D61-AF9E6FFE6587}"/>
    <cellStyle name="60% - Énfasis4" xfId="471" xr:uid="{CDBC9ADB-07BE-4681-8BDC-8CBD3C637B6C}"/>
    <cellStyle name="60% - Énfasis5" xfId="472" xr:uid="{71E86D18-BB7E-4D8F-AEFF-4DBA93B093BA}"/>
    <cellStyle name="60% - Énfasis6" xfId="473" xr:uid="{6EA88102-0C37-403B-8312-9B1F137D9994}"/>
    <cellStyle name="60% - アクセント 1" xfId="474" xr:uid="{82ECA82A-8B33-46D3-A61A-CC2686BF1DE6}"/>
    <cellStyle name="60% - アクセント 2" xfId="475" xr:uid="{1022936C-90DC-4461-98B8-8F4786F5AA9C}"/>
    <cellStyle name="60% - アクセント 3" xfId="476" xr:uid="{2693B1D0-3FA4-490A-B017-AC835E2E14D6}"/>
    <cellStyle name="60% - アクセント 4" xfId="477" xr:uid="{65C44B8E-10F6-445C-AEA5-4EFF6B844BF8}"/>
    <cellStyle name="60% - アクセント 5" xfId="478" xr:uid="{C6F166E3-B184-4119-BA31-D39138FF15B5}"/>
    <cellStyle name="60% - アクセント 6" xfId="479" xr:uid="{34605DE6-2AA6-4533-821A-4E4CADDCF76C}"/>
    <cellStyle name="Accent1 - 20%" xfId="480" xr:uid="{277817C6-23CE-4235-887C-75C1E172F96B}"/>
    <cellStyle name="Accent1 - 40%" xfId="481" xr:uid="{8FFE1662-677A-4FCF-9733-37AD2EB4956B}"/>
    <cellStyle name="Accent1 - 60%" xfId="482" xr:uid="{2F7C6A50-ED92-45C8-B70A-7B89DF552749}"/>
    <cellStyle name="Accent1 2" xfId="483" xr:uid="{33124C99-F333-40B9-8C2E-367A0F90DB4B}"/>
    <cellStyle name="Accent2 - 20%" xfId="484" xr:uid="{8D4EB3A8-49E0-4464-9002-00F51013E864}"/>
    <cellStyle name="Accent2 - 40%" xfId="485" xr:uid="{7403E89F-6B68-4ED9-B3D2-F0F468A52B26}"/>
    <cellStyle name="Accent2 - 60%" xfId="486" xr:uid="{2E080E91-DDE6-4D9A-A6D8-3FE54BEF282B}"/>
    <cellStyle name="Accent2 2" xfId="487" xr:uid="{06CFAEBE-ABEC-447B-BD97-77A6AB2AED78}"/>
    <cellStyle name="Accent3 - 20%" xfId="488" xr:uid="{BA9E0FB9-298B-4384-A542-9F583E3D48D8}"/>
    <cellStyle name="Accent3 - 40%" xfId="489" xr:uid="{4987C4A7-CAFF-4313-BB94-63570B29FDD5}"/>
    <cellStyle name="Accent3 - 60%" xfId="490" xr:uid="{E2BD0C6F-92BE-4ADD-A546-340C6789E066}"/>
    <cellStyle name="Accent3 2" xfId="491" xr:uid="{88EE9904-AEB3-4F6F-866C-EF96B7395F83}"/>
    <cellStyle name="Accent4 - 20%" xfId="492" xr:uid="{7FD9A757-1061-4738-8B78-ABA4E2F4F07F}"/>
    <cellStyle name="Accent4 - 40%" xfId="493" xr:uid="{D63F910F-D18C-41B3-A0D1-E8EFB3FC2BF7}"/>
    <cellStyle name="Accent4 - 60%" xfId="494" xr:uid="{0A4D6034-99D2-4BBE-B098-55AB9F1811C7}"/>
    <cellStyle name="Accent4 2" xfId="495" xr:uid="{7B9F7F85-EC93-422B-8DDE-25ACA58F5C83}"/>
    <cellStyle name="Accent5 - 20%" xfId="496" xr:uid="{733A3F79-6D42-4B23-8A37-9899E8E27E53}"/>
    <cellStyle name="Accent5 - 40%" xfId="497" xr:uid="{BE88EE60-2396-4271-9148-126F7375E7B6}"/>
    <cellStyle name="Accent5 - 60%" xfId="498" xr:uid="{CF02CCDF-EEAB-4047-9052-624772DE26AA}"/>
    <cellStyle name="Accent5 2" xfId="499" xr:uid="{AF8AB545-4720-4916-990E-4E6FCA5DF397}"/>
    <cellStyle name="Accent6 - 20%" xfId="500" xr:uid="{569C99EC-CFC3-490D-A2E6-225219632B85}"/>
    <cellStyle name="Accent6 - 40%" xfId="501" xr:uid="{5548D60A-7BC0-45CA-B674-527628916848}"/>
    <cellStyle name="Accent6 - 60%" xfId="502" xr:uid="{F0B8602B-C743-432E-A01A-CB8CFD340F40}"/>
    <cellStyle name="Accent6 2" xfId="503" xr:uid="{CEEE31E5-3D10-4956-866D-E7CD67BB1424}"/>
    <cellStyle name="Avertissement" xfId="504" xr:uid="{19B51120-67F3-4A4E-9C7F-1ABEFD2F4A51}"/>
    <cellStyle name="Avertissement 2" xfId="505" xr:uid="{4DF03EB0-1D87-4424-AFD3-6BB44355B232}"/>
    <cellStyle name="Bad 2" xfId="506" xr:uid="{E6AC689D-3CED-4FD1-830E-B7E2714C7F4E}"/>
    <cellStyle name="Bad 2 2" xfId="507" xr:uid="{34905632-F0A8-427B-9448-5F4CAB1DBDAE}"/>
    <cellStyle name="bob" xfId="508" xr:uid="{27F9D36C-3AC7-4687-980D-B4FEB8A6226F}"/>
    <cellStyle name="bob 2" xfId="509" xr:uid="{6E7B3391-2E8B-4D35-9EFB-A3E45A00BF30}"/>
    <cellStyle name="Buena" xfId="510" xr:uid="{9E9A5915-612A-4D9B-8F09-6F69E77208C5}"/>
    <cellStyle name="C00A" xfId="511" xr:uid="{61FAF7EE-E029-4B60-8FDE-A0F0651A8E50}"/>
    <cellStyle name="C00A 2" xfId="512" xr:uid="{E81CD83E-FF6A-40E1-BBDF-1C6C2D8472B1}"/>
    <cellStyle name="C00B" xfId="513" xr:uid="{1B1033A7-D577-451E-8585-85B0EF5F12F0}"/>
    <cellStyle name="C00B 2" xfId="514" xr:uid="{AC036D71-5D7D-4B51-BDAB-24A792267504}"/>
    <cellStyle name="C00L" xfId="515" xr:uid="{2D52A883-D7EB-42A3-8840-62038EE6A4F3}"/>
    <cellStyle name="C00L 2" xfId="516" xr:uid="{8D6AA940-21A4-4914-81C8-F3ABC9B6DE0C}"/>
    <cellStyle name="C01A" xfId="517" xr:uid="{12147E7F-38C2-4387-A7AF-1361E5DCF33B}"/>
    <cellStyle name="C01B" xfId="518" xr:uid="{6B8CD55D-D066-4B92-BFBC-FD20C29547E7}"/>
    <cellStyle name="C01B 2" xfId="519" xr:uid="{E7FD6818-2BDF-4FD3-A215-B4BA1B2EBD12}"/>
    <cellStyle name="C01B 2 2" xfId="520" xr:uid="{B143895F-3F24-4260-97B5-A262C1FA4C58}"/>
    <cellStyle name="C01B 3" xfId="521" xr:uid="{27B71973-B28C-47CC-B7EE-69C7ED648E48}"/>
    <cellStyle name="C01B 4" xfId="522" xr:uid="{BD955D1C-0F4C-4991-886E-BCA4320B4140}"/>
    <cellStyle name="C01B 5" xfId="523" xr:uid="{B2B0399A-2592-4772-9B9F-0DA47D41DDCA}"/>
    <cellStyle name="C01H" xfId="524" xr:uid="{911BA595-186D-4536-A861-F1ED20F24E86}"/>
    <cellStyle name="C01L" xfId="525" xr:uid="{4B063B8D-FB79-41DB-A889-68209BF3F0EC}"/>
    <cellStyle name="C02A" xfId="526" xr:uid="{4C73131A-A008-42C3-8D43-E85CF40A1B24}"/>
    <cellStyle name="C02A 2" xfId="527" xr:uid="{5D304C1D-F217-4D16-817E-671F8F62611A}"/>
    <cellStyle name="C02A 3" xfId="528" xr:uid="{78E3F14A-2E83-45C1-9857-658DBFE4AB18}"/>
    <cellStyle name="C02B" xfId="529" xr:uid="{36A092C2-399E-44BB-9068-870AC6229A25}"/>
    <cellStyle name="C02B 2" xfId="530" xr:uid="{DF36FB4C-3605-473E-83C8-96312A7CED7D}"/>
    <cellStyle name="C02B 2 2" xfId="531" xr:uid="{7AA411BA-68F7-4EDD-82F4-EEE5818D0CB7}"/>
    <cellStyle name="C02B 3" xfId="532" xr:uid="{D5DFBDC6-7C89-4FBF-BAAC-410417D28AE6}"/>
    <cellStyle name="C02B 4" xfId="533" xr:uid="{C517A0FF-3319-4033-8958-2A17DF6F7B8D}"/>
    <cellStyle name="C02B 5" xfId="534" xr:uid="{ACF99EB5-724D-42B9-9509-B006B7D73CC4}"/>
    <cellStyle name="C02H" xfId="535" xr:uid="{B6194C87-32BA-4E8A-95EE-D47C29E8B587}"/>
    <cellStyle name="C02L" xfId="536" xr:uid="{4E9A0404-A8DF-4B45-94B0-7BFDECB0FED6}"/>
    <cellStyle name="C03A" xfId="537" xr:uid="{FEFA789E-F6E5-4614-BA77-5CE3D3BE6FD2}"/>
    <cellStyle name="C03B" xfId="538" xr:uid="{9ED8E88A-2F8F-4E87-B181-855A888AAB05}"/>
    <cellStyle name="C03H" xfId="539" xr:uid="{054254F3-2E93-43E9-A258-E95180B70626}"/>
    <cellStyle name="C03L" xfId="540" xr:uid="{C1766C6A-984C-4741-A8BB-72B29441225A}"/>
    <cellStyle name="C04A" xfId="541" xr:uid="{A0D5B817-939F-4573-8E23-C38FE6223D5E}"/>
    <cellStyle name="C04A 2" xfId="542" xr:uid="{B1A1F9CC-E068-4220-98C4-3091FB1FB43F}"/>
    <cellStyle name="C04A 2 2" xfId="543" xr:uid="{9B3E83A9-094A-45E6-A7FD-BE3726CE1992}"/>
    <cellStyle name="C04A 3" xfId="544" xr:uid="{F58D843A-4316-4D84-AE66-F5A2618F5A24}"/>
    <cellStyle name="C04A 4" xfId="545" xr:uid="{B17E07E4-BA1F-4632-82EE-848144CAFBE8}"/>
    <cellStyle name="C04A 5" xfId="546" xr:uid="{3883AE4B-C5D1-4083-A880-4CE148292185}"/>
    <cellStyle name="C04A_PHE course bud 22 pax" xfId="547" xr:uid="{A816C34B-CB3C-49F8-AF03-C0C1F8ABE1E4}"/>
    <cellStyle name="C04B" xfId="548" xr:uid="{7FEBF95F-D4C4-4197-B6F6-AB85DB43A814}"/>
    <cellStyle name="C04H" xfId="549" xr:uid="{AB70DCA3-140B-45DF-9A69-CDCA4C65A5E0}"/>
    <cellStyle name="C04L" xfId="550" xr:uid="{552DA4FF-DCFC-4D27-80BA-EAAD5E8CC121}"/>
    <cellStyle name="C04L 2" xfId="551" xr:uid="{29E28D1D-8735-46CC-936D-3984A3BC3C61}"/>
    <cellStyle name="C05A" xfId="552" xr:uid="{27BF9DD3-3A2E-433C-8784-4228754C4970}"/>
    <cellStyle name="C05A 2" xfId="553" xr:uid="{E0805DFD-6160-4EC1-BDB9-69BECEAAB638}"/>
    <cellStyle name="C05B" xfId="554" xr:uid="{50CEE777-34BF-4A15-9C0E-7A7183DD1EFA}"/>
    <cellStyle name="C05H" xfId="555" xr:uid="{2F591C1B-C3EC-43EC-B310-CAB9AAC5972C}"/>
    <cellStyle name="C05L" xfId="556" xr:uid="{F7E66455-F216-4306-9451-18E40D7A5F0F}"/>
    <cellStyle name="C05L 2" xfId="557" xr:uid="{E33A8CC3-CDBA-4A0D-8DCB-D52783D3D388}"/>
    <cellStyle name="C06A" xfId="558" xr:uid="{2C74E81B-4C88-4EEF-AB4E-B0498687B33F}"/>
    <cellStyle name="C06B" xfId="559" xr:uid="{7CE6C494-752D-4AD5-ABFD-3F3E959FA76E}"/>
    <cellStyle name="C06H" xfId="560" xr:uid="{BFB85333-252A-4858-B51A-A9D06667C471}"/>
    <cellStyle name="C06L" xfId="561" xr:uid="{3CF1215A-F03A-46CE-8EF0-351BBFE904A4}"/>
    <cellStyle name="C07A" xfId="562" xr:uid="{34471624-A240-4341-A1F5-67A3B0D67977}"/>
    <cellStyle name="C07B" xfId="563" xr:uid="{58A2A2EE-99CF-4AEA-955D-A51E838E60DD}"/>
    <cellStyle name="C07H" xfId="564" xr:uid="{7576A6C4-DE9C-4F0B-86D8-B2C70F4C42BE}"/>
    <cellStyle name="C07L" xfId="565" xr:uid="{8EB7DB4B-2C15-46DB-A9CC-1062A261C7AB}"/>
    <cellStyle name="Calcolo" xfId="566" xr:uid="{DAF399FF-0CE8-4C72-8D25-CB9A762E69D7}"/>
    <cellStyle name="Calcul" xfId="567" xr:uid="{4233784E-41AE-47ED-BF6C-74871A0FADEB}"/>
    <cellStyle name="Calcul 2" xfId="568" xr:uid="{2085601F-C9BB-4D4A-B2FF-0AC42F0CEB5F}"/>
    <cellStyle name="Calculation 2" xfId="569" xr:uid="{67B643E7-27B1-48A8-8FFE-FE5E673C42F4}"/>
    <cellStyle name="Calculation 2 2" xfId="570" xr:uid="{A6231705-F1D6-4EFF-AA1F-60C1766A068C}"/>
    <cellStyle name="Cálculo" xfId="571" xr:uid="{EC8B2C25-9DD0-4BDC-8588-AE204FBEADE2}"/>
    <cellStyle name="Celda de comprobación" xfId="572" xr:uid="{5A8F7DC7-5C65-442E-BB30-D04CE75FA682}"/>
    <cellStyle name="Celda vinculada" xfId="573" xr:uid="{3C2E5F28-386A-4AE6-9A59-4DAB0AAA6D8A}"/>
    <cellStyle name="Cella collegata" xfId="574" xr:uid="{D7288002-75DF-4125-856C-6B6A0367362A}"/>
    <cellStyle name="Cella da controllare" xfId="575" xr:uid="{E45718F4-BE85-4071-AD1B-8515AD4FE5D0}"/>
    <cellStyle name="Cellule liée" xfId="576" xr:uid="{14A59623-33CF-4B88-8067-417ECED1CE2D}"/>
    <cellStyle name="Cellule liée 2" xfId="577" xr:uid="{00632713-DA26-4A2D-B6B5-F216D5B609A2}"/>
    <cellStyle name="Check Cell 2" xfId="578" xr:uid="{7AA14E33-C499-4F1C-A8FE-3E5762D97A64}"/>
    <cellStyle name="Check Cell 2 2" xfId="579" xr:uid="{2068F0B8-6C91-423A-9DFD-BDF41E8B43AB}"/>
    <cellStyle name="Code" xfId="580" xr:uid="{4208FB09-02B7-41CB-92A9-8E42BD9A6A9D}"/>
    <cellStyle name="Code 2" xfId="581" xr:uid="{E96E593A-1F4A-4352-B310-FBAB8946B205}"/>
    <cellStyle name="Code 3" xfId="582" xr:uid="{6C1B2310-A6C4-4EEF-B8FA-200EAF424722}"/>
    <cellStyle name="Colore 1" xfId="583" xr:uid="{9CD44A96-7737-4344-A590-004C89F5E3E9}"/>
    <cellStyle name="Colore 2" xfId="584" xr:uid="{FAC4376C-81DB-44FB-BA45-56162B863AD2}"/>
    <cellStyle name="Colore 3" xfId="585" xr:uid="{03C17FAE-CE30-4BD6-AB3A-00DE5291AC7B}"/>
    <cellStyle name="Colore 4" xfId="586" xr:uid="{8EA900C5-CDEC-4FAD-AE07-8AEFEA96E4A4}"/>
    <cellStyle name="Colore 5" xfId="587" xr:uid="{6B23D651-097A-4F01-AC9C-A731CF6932C0}"/>
    <cellStyle name="Colore 6" xfId="588" xr:uid="{C34C88F9-C6A9-4125-98F2-E49ACF496236}"/>
    <cellStyle name="Comma" xfId="589" builtinId="3"/>
    <cellStyle name="Comma [0] 2" xfId="590" xr:uid="{91A14763-F4DC-4628-8155-583A52CAE0E1}"/>
    <cellStyle name="Comma [0] 2 2" xfId="591" xr:uid="{3461A801-5FB5-4F81-BAAD-3DE2F10F0046}"/>
    <cellStyle name="Comma 10" xfId="592" xr:uid="{1E43CEF8-00E8-4E57-8BAE-E7F0FE8E1E5C}"/>
    <cellStyle name="Comma 10 2" xfId="593" xr:uid="{22D1DCB6-9A5F-4504-9CA9-FFEA497FD17D}"/>
    <cellStyle name="Comma 11" xfId="594" xr:uid="{03359BCE-8CC5-4F8C-9279-E012653B3AA5}"/>
    <cellStyle name="Comma 12" xfId="595" xr:uid="{21C3656D-6803-461B-800B-B1DEC2E06551}"/>
    <cellStyle name="Comma 13" xfId="596" xr:uid="{F2A277F5-EAC8-4BC0-8EB9-2318B0690971}"/>
    <cellStyle name="Comma 13 2" xfId="597" xr:uid="{43220367-49F9-4A43-BA87-60EFDE563BFE}"/>
    <cellStyle name="Comma 13 3" xfId="598" xr:uid="{5F862767-9CDE-4CA2-83F7-5888D7586122}"/>
    <cellStyle name="Comma 13 4" xfId="599" xr:uid="{A5415D92-B729-4662-92AC-411CB09FA7E6}"/>
    <cellStyle name="Comma 13 5" xfId="600" xr:uid="{EC335CE7-AEF1-446A-9100-E98A50299DCC}"/>
    <cellStyle name="Comma 14" xfId="601" xr:uid="{EF643087-F839-4963-AD4B-41388F6B6C57}"/>
    <cellStyle name="Comma 14 2" xfId="602" xr:uid="{29B022F5-F840-4EFF-BCAF-C3CAF90338D5}"/>
    <cellStyle name="Comma 14 3" xfId="603" xr:uid="{2C63E491-265A-4290-A675-224896BE2590}"/>
    <cellStyle name="Comma 14 4" xfId="604" xr:uid="{045DB05E-466B-409A-B4FB-A0717F425E44}"/>
    <cellStyle name="Comma 15" xfId="605" xr:uid="{5162D151-6B17-4293-A8A8-B6878817E972}"/>
    <cellStyle name="Comma 15 2" xfId="606" xr:uid="{2C5918E4-766E-4E7C-B5B6-F418FD84F47C}"/>
    <cellStyle name="Comma 15 3" xfId="607" xr:uid="{605EEAB4-A2B9-4A90-A0FA-58CBA3C2D30C}"/>
    <cellStyle name="Comma 15 4" xfId="608" xr:uid="{2947DE9A-AB6C-4EF8-97AB-815CA881BDC5}"/>
    <cellStyle name="Comma 16" xfId="609" xr:uid="{203FB226-90A8-4D9A-AFD2-A3EC9F7F6B19}"/>
    <cellStyle name="Comma 16 2" xfId="610" xr:uid="{8FB1F630-DBE0-4004-A1C2-ACF8BB73DC57}"/>
    <cellStyle name="Comma 16 3" xfId="611" xr:uid="{23A214C5-9DC2-4AE1-9A5E-4A1B42EED51F}"/>
    <cellStyle name="Comma 16 4" xfId="612" xr:uid="{98F9C482-5133-4E86-A5AB-9901A2F55D4C}"/>
    <cellStyle name="Comma 17" xfId="613" xr:uid="{15DBAB28-0987-4178-B318-CB40AE501666}"/>
    <cellStyle name="Comma 18" xfId="614" xr:uid="{AAE6D5C1-09EB-48EA-A6C6-A12C9D757ABD}"/>
    <cellStyle name="Comma 19" xfId="615" xr:uid="{0FFEDFE0-031B-49DA-B649-8312E414EE3A}"/>
    <cellStyle name="Comma 2" xfId="616" xr:uid="{A59DEB13-D400-4CF6-B745-FE2693AAC995}"/>
    <cellStyle name="Comma 2 2" xfId="617" xr:uid="{5379BD17-65C8-4780-8D73-C50E539D5516}"/>
    <cellStyle name="Comma 2 2 2" xfId="618" xr:uid="{6753DA1C-0C39-4D10-AFAD-D1AE25B75741}"/>
    <cellStyle name="Comma 2 2 2 2" xfId="619" xr:uid="{2642D924-F0C7-4513-9DB6-828A01FC91CB}"/>
    <cellStyle name="Comma 2 2 2 3" xfId="620" xr:uid="{EA0E2B84-7FF3-4770-ABDD-A5A02361247C}"/>
    <cellStyle name="Comma 2 2 2 4" xfId="621" xr:uid="{5F27D1AC-9DFE-4D0A-A2D1-DC1698ED86DC}"/>
    <cellStyle name="Comma 2 2 3" xfId="622" xr:uid="{3C138E17-1A0C-4691-A407-DDF72D66D136}"/>
    <cellStyle name="Comma 2 2 3 2" xfId="623" xr:uid="{7096C25A-B7CC-42F8-9239-FDFA0E995BE6}"/>
    <cellStyle name="Comma 2 2 3 3" xfId="624" xr:uid="{1711526F-F6AF-41E4-946D-DE929A8E8522}"/>
    <cellStyle name="Comma 2 2 3 4" xfId="625" xr:uid="{829B0A7E-8613-468D-BDC3-768BCEEAD1B1}"/>
    <cellStyle name="Comma 2 2 4" xfId="626" xr:uid="{92D95F6C-4AF6-4BD2-A109-2341A182B341}"/>
    <cellStyle name="Comma 2 2 5" xfId="627" xr:uid="{2B8F3153-CB4C-4EA0-9405-A136904BF549}"/>
    <cellStyle name="Comma 2 2 6" xfId="628" xr:uid="{3B2B547D-D7A7-499E-8861-84CEEA630F75}"/>
    <cellStyle name="Comma 2 2_Abt Associates Tanzania Febrile Illness DRAFT budget 10-12-2010" xfId="629" xr:uid="{1816C14C-3B72-4AA8-804F-4B6ADBDD5861}"/>
    <cellStyle name="Comma 2 3" xfId="630" xr:uid="{A37FC8AF-F1EA-4B33-B3E0-6B5A59BC1516}"/>
    <cellStyle name="Comma 2 3 2" xfId="631" xr:uid="{4BDB7151-AC6F-4B4B-AAD6-E2F27F2B8170}"/>
    <cellStyle name="Comma 2 3 2 2" xfId="632" xr:uid="{4E4D0FEF-1DE0-49F2-B22C-86A41F9AAF58}"/>
    <cellStyle name="Comma 2 3 3" xfId="633" xr:uid="{5568E048-A008-4E56-BC9C-76CD462A9810}"/>
    <cellStyle name="Comma 2 3 3 2" xfId="634" xr:uid="{93D94A8D-F164-4E3F-BC39-219F4895E972}"/>
    <cellStyle name="Comma 2 3 4" xfId="635" xr:uid="{7F2FA7B0-DCA2-4CFC-A733-FC8E1329156A}"/>
    <cellStyle name="Comma 2 4" xfId="636" xr:uid="{3CE3663E-B5CC-4F52-892B-30597197B918}"/>
    <cellStyle name="Comma 2 4 2" xfId="637" xr:uid="{C11442D8-E6EB-49D5-839C-CE35E522AE23}"/>
    <cellStyle name="Comma 2 5" xfId="638" xr:uid="{356AAE78-20B3-41FB-80A3-A611A7A91E6D}"/>
    <cellStyle name="Comma 2 6" xfId="639" xr:uid="{6544E90B-1727-4946-8D4C-B5D03D33E722}"/>
    <cellStyle name="Comma 2 7" xfId="640" xr:uid="{4FE12D3B-773B-4E26-8752-75BD9D2A8696}"/>
    <cellStyle name="Comma 2 8" xfId="641" xr:uid="{A93E3FC1-6213-4490-AB70-6CC785A275CE}"/>
    <cellStyle name="Comma 2 9" xfId="642" xr:uid="{E38046AA-8BB7-42C2-B421-A57E146EBF15}"/>
    <cellStyle name="Comma 2_Abt Associates Kenya IRS TO Budget Final CONFIDENTIAL 11-24-09" xfId="643" xr:uid="{87E4E9AD-51FB-4F4A-8C24-A984A753E5AE}"/>
    <cellStyle name="Comma 20" xfId="644" xr:uid="{1D4BBB0B-5D66-4C9B-AA1E-E81916A0ECB0}"/>
    <cellStyle name="Comma 21" xfId="645" xr:uid="{8E1A1B6F-9346-4D1A-B2BC-4969904F637A}"/>
    <cellStyle name="Comma 22" xfId="646" xr:uid="{C7422C8C-D4F5-499C-BCB2-0EEEFB4A3016}"/>
    <cellStyle name="Comma 23" xfId="647" xr:uid="{E7EAEB54-FA64-4F5C-81E3-0D2426BD61B6}"/>
    <cellStyle name="Comma 24" xfId="648" xr:uid="{53DF62A3-622D-4018-B702-99B1BD36BCCF}"/>
    <cellStyle name="Comma 25" xfId="649" xr:uid="{D0A656A0-C31C-4611-8F50-E2F32C50CA2F}"/>
    <cellStyle name="Comma 26" xfId="650" xr:uid="{E770DACD-EB94-4923-AFA8-01C79F214640}"/>
    <cellStyle name="Comma 27" xfId="651" xr:uid="{C958895A-09DF-4F93-89F8-18D8A5BCCEC8}"/>
    <cellStyle name="Comma 28" xfId="652" xr:uid="{710EFA63-662D-4F8C-B109-A51DF02575FE}"/>
    <cellStyle name="Comma 29" xfId="653" xr:uid="{C034E7CE-9554-49AC-AF54-6F5EF18117D0}"/>
    <cellStyle name="Comma 3" xfId="654" xr:uid="{937C8F9D-3A88-4BD6-B5E0-DD533A3F167D}"/>
    <cellStyle name="Comma 3 2" xfId="655" xr:uid="{3AD9D612-2876-4278-888F-C9A218B7D7CC}"/>
    <cellStyle name="Comma 3 2 2" xfId="656" xr:uid="{D3A0290B-AD32-4960-BD25-4D517462347E}"/>
    <cellStyle name="Comma 3 2 2 2" xfId="657" xr:uid="{13A066F7-D00D-406E-A022-FC3E8CABE4DB}"/>
    <cellStyle name="Comma 3 2 2 3" xfId="658" xr:uid="{5DF26643-28BE-4D61-967B-EA95E0821E28}"/>
    <cellStyle name="Comma 3 2 3" xfId="659" xr:uid="{32F4B8B1-FAFF-45B6-B5ED-872B2F65C342}"/>
    <cellStyle name="Comma 3 2 4" xfId="660" xr:uid="{A282ADAF-148C-40B3-B633-547D56217296}"/>
    <cellStyle name="Comma 3 3" xfId="661" xr:uid="{6CF7D350-9EB7-4D85-A9BE-E2771E29CF3C}"/>
    <cellStyle name="Comma 3 3 2" xfId="662" xr:uid="{7B93F6CB-FA6C-4907-8065-A713DE5844B2}"/>
    <cellStyle name="Comma 3 4" xfId="663" xr:uid="{D455002A-29C2-4AC6-8A6E-88DAF7845887}"/>
    <cellStyle name="Comma 3 5" xfId="664" xr:uid="{04ED186B-6B65-488D-BF96-F64D3A3548D7}"/>
    <cellStyle name="Comma 3 6" xfId="665" xr:uid="{5A60772A-FCF7-482C-888C-AF0F056589EA}"/>
    <cellStyle name="Comma 3 7" xfId="666" xr:uid="{8CF4B560-EC90-431F-B6C4-0A91A11FA90B}"/>
    <cellStyle name="Comma 3 8" xfId="667" xr:uid="{BB05CCF8-C9FF-4716-96F0-E11A161FF435}"/>
    <cellStyle name="Comma 30" xfId="668" xr:uid="{709D27C6-05F8-486F-8955-712C58F613F5}"/>
    <cellStyle name="Comma 31" xfId="669" xr:uid="{0A11BDE9-A99E-4F6D-AC66-2F38BDF7B92E}"/>
    <cellStyle name="Comma 32" xfId="670" xr:uid="{C8D4F83F-32C2-4CCF-B687-36E1C6D52DEA}"/>
    <cellStyle name="Comma 33" xfId="671" xr:uid="{D36A548E-9416-4AC4-9266-D3168F86D162}"/>
    <cellStyle name="Comma 34" xfId="672" xr:uid="{E0F0EFF1-F82B-4A4E-971C-E6CF90EFB4C3}"/>
    <cellStyle name="Comma 35" xfId="673" xr:uid="{94F95DF8-06B4-4130-99EC-76EE7AD997DA}"/>
    <cellStyle name="Comma 4" xfId="674" xr:uid="{3775E2B4-4BB7-4632-8CFA-E49619DA396C}"/>
    <cellStyle name="Comma 4 10" xfId="675" xr:uid="{8B0FD1FD-C729-4384-A1F3-B8E2FA9A8156}"/>
    <cellStyle name="Comma 4 11" xfId="676" xr:uid="{3287CD95-AB2B-4AE4-853D-25D3B8444360}"/>
    <cellStyle name="Comma 4 12" xfId="677" xr:uid="{947DA875-7A06-4A1C-916F-B6E2804FEA4E}"/>
    <cellStyle name="Comma 4 2" xfId="678" xr:uid="{F6C36422-D76F-4A96-9BDF-0B8B6EAD6E32}"/>
    <cellStyle name="Comma 4 2 2" xfId="679" xr:uid="{8DEF657F-F315-4B19-9122-19041FE9724C}"/>
    <cellStyle name="Comma 4 2 3" xfId="680" xr:uid="{EA26A4B8-7118-4193-9BA2-E2AB0AABF9D2}"/>
    <cellStyle name="Comma 4 3" xfId="681" xr:uid="{4CC190C1-7E64-4AFE-B1AD-F70FFF225D39}"/>
    <cellStyle name="Comma 4 3 2" xfId="682" xr:uid="{6877BC2C-9A43-4F6D-9E17-928C9B8BBEA5}"/>
    <cellStyle name="Comma 4 4" xfId="683" xr:uid="{0C750342-8A65-4CE3-9576-87571C09CDE5}"/>
    <cellStyle name="Comma 4 4 2" xfId="684" xr:uid="{A3C149E7-3E19-4C8D-8843-FAE82B94D752}"/>
    <cellStyle name="Comma 4 5" xfId="685" xr:uid="{1054441F-6594-476C-AB88-CD10BE352AAD}"/>
    <cellStyle name="Comma 4 6" xfId="686" xr:uid="{3A90045A-339A-4E63-8352-48661E3D9E37}"/>
    <cellStyle name="Comma 4 7" xfId="687" xr:uid="{0E1A7F05-1797-487C-94D0-C307FEA52822}"/>
    <cellStyle name="Comma 4 8" xfId="688" xr:uid="{6E725B15-624F-45E3-BE55-3FDF841947AA}"/>
    <cellStyle name="Comma 4 9" xfId="689" xr:uid="{E9C9C250-9B32-4416-9889-12BE39E4C618}"/>
    <cellStyle name="Comma 4_USAID ZIM AIED SOW" xfId="690" xr:uid="{11275142-0B91-44B1-BAC3-DB4A0D929226}"/>
    <cellStyle name="Comma 5" xfId="691" xr:uid="{D1AECBB1-6C9F-4788-BFD2-748BD35F1C18}"/>
    <cellStyle name="Comma 5 2" xfId="692" xr:uid="{D8F983FA-D72B-48E3-9291-74C07470D0C8}"/>
    <cellStyle name="Comma 5 2 2" xfId="693" xr:uid="{87711A1C-75F8-47C9-9404-51488964BF01}"/>
    <cellStyle name="Comma 5 2 3" xfId="694" xr:uid="{88959ACF-389A-461B-BE99-24FD3E840641}"/>
    <cellStyle name="Comma 5 3" xfId="695" xr:uid="{0AE57A4A-57B3-4781-89BB-1E2235E33132}"/>
    <cellStyle name="Comma 5 4" xfId="696" xr:uid="{C573DB89-ABC4-4623-855B-EF73B67DDF66}"/>
    <cellStyle name="Comma 5 5" xfId="697" xr:uid="{4DCC346D-E2DB-45E7-B1AE-1E9BF24BFBE0}"/>
    <cellStyle name="Comma 5 6" xfId="698" xr:uid="{E17DBF31-BE21-4616-BCE4-836D638A9212}"/>
    <cellStyle name="Comma 5 7" xfId="699" xr:uid="{8322EE54-914F-4F53-8A5B-32FBA3C16CD2}"/>
    <cellStyle name="Comma 5 8" xfId="700" xr:uid="{A582066C-EC74-45A3-BE8D-7050006C90CF}"/>
    <cellStyle name="Comma 5 9" xfId="701" xr:uid="{DEE17932-9341-41E9-860E-7D39E9191072}"/>
    <cellStyle name="Comma 6" xfId="702" xr:uid="{67147BD3-0387-4A2E-9EDB-0E7BCEF1BC7F}"/>
    <cellStyle name="Comma 6 10" xfId="703" xr:uid="{330BD719-AA3F-4D3D-9C35-8763524438A7}"/>
    <cellStyle name="Comma 6 2" xfId="704" xr:uid="{F4F74EF5-D037-4391-96BD-F25F96A389D2}"/>
    <cellStyle name="Comma 6 2 2" xfId="705" xr:uid="{E0618149-7BE6-4D42-B727-EAF42147608C}"/>
    <cellStyle name="Comma 6 2 2 2" xfId="706" xr:uid="{34171A10-078F-4AB8-BC42-640E50CFD3DA}"/>
    <cellStyle name="Comma 6 2 3" xfId="707" xr:uid="{C5F271FD-5FFE-4748-B98F-683819E9BEDE}"/>
    <cellStyle name="Comma 6 2 3 2" xfId="708" xr:uid="{533FC05C-616E-4194-8D18-8D6CBF5776E3}"/>
    <cellStyle name="Comma 6 2 3 3" xfId="709" xr:uid="{0C0B357D-4ED6-401E-B62C-894892D2EC62}"/>
    <cellStyle name="Comma 6 2 3 4" xfId="710" xr:uid="{CD48D5A8-71C0-471E-B7A9-8FEF6DB56C22}"/>
    <cellStyle name="Comma 6 3" xfId="711" xr:uid="{DAB27DD1-80B9-4559-81DE-7D58662674DE}"/>
    <cellStyle name="Comma 6 3 2" xfId="712" xr:uid="{A4E21C3B-13A7-4ACF-9697-9E4CA16AAB49}"/>
    <cellStyle name="Comma 6 4" xfId="713" xr:uid="{CBC12023-5280-404C-A245-9C96B9437A0D}"/>
    <cellStyle name="Comma 6 5" xfId="714" xr:uid="{DA58821E-5F7A-4E4C-91AB-34100510B0B9}"/>
    <cellStyle name="Comma 6 6" xfId="715" xr:uid="{F47000FC-29FC-4D57-A27D-677A6D4E1734}"/>
    <cellStyle name="Comma 6 6 2" xfId="716" xr:uid="{97EB1AB8-C211-4576-8FFE-ADD706F8A06A}"/>
    <cellStyle name="Comma 6 6 3" xfId="717" xr:uid="{11FAB2F4-B9DD-48CA-B581-B4AC79BF346A}"/>
    <cellStyle name="Comma 6 6 4" xfId="718" xr:uid="{6A99CF94-4997-49B4-BC85-0C2F47DDDADB}"/>
    <cellStyle name="Comma 6 7" xfId="719" xr:uid="{7EF16B33-D509-4739-A4ED-D8A37D9CCA49}"/>
    <cellStyle name="Comma 6 8" xfId="720" xr:uid="{6D95E015-DEAF-4F7F-8909-22B4F732185A}"/>
    <cellStyle name="Comma 6 9" xfId="721" xr:uid="{9B606718-3860-407C-929E-072C1C5C2BC4}"/>
    <cellStyle name="Comma 7" xfId="722" xr:uid="{E5F8252A-1D06-4769-89C5-6ACB66E0C267}"/>
    <cellStyle name="Comma 7 2" xfId="723" xr:uid="{A7734185-1EFB-4D98-A052-0338FC417237}"/>
    <cellStyle name="Comma 7 3" xfId="724" xr:uid="{57FAB329-4507-45E6-983D-1FA0C1332002}"/>
    <cellStyle name="Comma 7 4" xfId="725" xr:uid="{667E5372-C0D5-4390-BCE2-93A86D3C136D}"/>
    <cellStyle name="Comma 7 5" xfId="726" xr:uid="{E283B005-8CE4-40DB-81FB-6164DDC259EC}"/>
    <cellStyle name="Comma 7 5 2" xfId="727" xr:uid="{9C7389EB-C253-4AE1-B439-5ED05D3FA231}"/>
    <cellStyle name="Comma 7 5 3" xfId="728" xr:uid="{C83B40F2-065F-4705-BF10-F541335EE623}"/>
    <cellStyle name="Comma 7 5 4" xfId="729" xr:uid="{C46513ED-CAD3-4C74-93D7-CF51C78F95E5}"/>
    <cellStyle name="Comma 7 6" xfId="730" xr:uid="{143218F2-6B01-4059-833D-10A8F3723066}"/>
    <cellStyle name="Comma 8" xfId="731" xr:uid="{815F5F24-2950-4F53-BE34-FC0EAA7D4EFC}"/>
    <cellStyle name="Comma 8 2" xfId="732" xr:uid="{536107E1-825E-428E-91F6-CA8212DBEDF2}"/>
    <cellStyle name="Comma 8 3" xfId="733" xr:uid="{03BA9750-1FE5-4951-AE03-CDC1885CB674}"/>
    <cellStyle name="Comma 8 3 2" xfId="734" xr:uid="{81B12642-AAA9-4DCC-AD4D-58EFBADF1734}"/>
    <cellStyle name="Comma 8 3 3" xfId="735" xr:uid="{B2554E91-AC61-459F-9A41-035CEA69CC22}"/>
    <cellStyle name="Comma 8 3 4" xfId="736" xr:uid="{C4F28D0D-12F4-4639-ABE6-5B29F55B302F}"/>
    <cellStyle name="Comma 9" xfId="737" xr:uid="{28ECE3BF-29FB-4725-8FAA-B6DFDBE2468C}"/>
    <cellStyle name="Comma 9 2" xfId="738" xr:uid="{60202BD8-A12A-4C6D-BF6E-66CF846C9E78}"/>
    <cellStyle name="Comma 9 2 2" xfId="739" xr:uid="{C889D4FD-E732-4F61-9AD9-EBB48EA0608D}"/>
    <cellStyle name="Comma 9 2 3" xfId="740" xr:uid="{1F739C57-C589-4648-8DC2-10A081D88776}"/>
    <cellStyle name="Comma 9 2 4" xfId="741" xr:uid="{6F9BE1B7-B6E7-48EB-8109-F2BC546DA932}"/>
    <cellStyle name="Comma 9 2 5" xfId="742" xr:uid="{FE10664D-1B6D-413B-951F-D0BC84AF4FCE}"/>
    <cellStyle name="Comma 9 3" xfId="743" xr:uid="{BD911797-9051-45F6-A45A-8DB169EECB1E}"/>
    <cellStyle name="Comma0" xfId="744" xr:uid="{97AF0533-C249-4832-917C-9F4ADEA414F8}"/>
    <cellStyle name="Comma0 - Style2" xfId="745" xr:uid="{685EDDFD-1425-41A3-A197-66C67A30278F}"/>
    <cellStyle name="Comma0 2" xfId="746" xr:uid="{CE6453F5-FB2D-4E86-B65F-48858F64902C}"/>
    <cellStyle name="Comma0 2 2" xfId="747" xr:uid="{94CA1F20-D099-4F4F-8129-16C5D958A412}"/>
    <cellStyle name="Comma0 2 3" xfId="748" xr:uid="{B4E73205-32EE-4DA2-84A1-72AAE48681DF}"/>
    <cellStyle name="Comma0 2 4" xfId="749" xr:uid="{934C202F-F8EE-4213-8B5F-8C623A45BA06}"/>
    <cellStyle name="Comma0 3" xfId="750" xr:uid="{611D876F-C901-4F50-A09A-917374409170}"/>
    <cellStyle name="Comma0 3 2" xfId="751" xr:uid="{3FDF1EFF-2680-4310-BEED-6900EB5075C8}"/>
    <cellStyle name="Comma0 4" xfId="752" xr:uid="{94A2AE2F-ADB4-4EFC-AC21-B0D77DDFDBA8}"/>
    <cellStyle name="Comma0 5" xfId="753" xr:uid="{7745EA45-322D-43A9-8817-07C5D54007F2}"/>
    <cellStyle name="Comma0 6" xfId="754" xr:uid="{DFAAABA7-124C-45CC-9756-7F571E396EF9}"/>
    <cellStyle name="Comma0 7" xfId="755" xr:uid="{AB421390-16C8-4BD0-8528-4116E121EEB7}"/>
    <cellStyle name="Comma0_Abt API Budget Draft 6-26-09 CONFIDENTIAL" xfId="756" xr:uid="{1601FD86-10C9-4DE3-890A-572966FA91DE}"/>
    <cellStyle name="Commentaire" xfId="757" xr:uid="{F78BF2CE-A9CD-4DED-A050-75559042338A}"/>
    <cellStyle name="Commentaire 2" xfId="758" xr:uid="{6DADA02F-5DC4-4424-AEBA-14E9A2A2EB2C}"/>
    <cellStyle name="Commentaire 3" xfId="759" xr:uid="{867BB90F-E37B-48DC-ABC0-36603470C5F5}"/>
    <cellStyle name="Commentaire 4" xfId="760" xr:uid="{7EA11FF6-FE31-41CD-9924-484FC93E100D}"/>
    <cellStyle name="Commentaire_Abt Associates Tanzania Febrile Illness DRAFT budget 10-12-2010" xfId="761" xr:uid="{BBA36314-08A1-4DE0-8C7A-4C148CABB8EB}"/>
    <cellStyle name="Curren - Style1" xfId="762" xr:uid="{A408DD43-A22D-4F1E-B2CC-19D23F0DA761}"/>
    <cellStyle name="Curren - Style3" xfId="763" xr:uid="{618C7A7C-AAF5-405C-B42A-B5772716B84A}"/>
    <cellStyle name="Currency" xfId="764" builtinId="4"/>
    <cellStyle name="Currency 10" xfId="765" xr:uid="{9F88151A-C93B-4D95-B53E-71F71B7C6F75}"/>
    <cellStyle name="Currency 11" xfId="766" xr:uid="{633027F7-9E76-45BF-BEDF-B0A4848E8380}"/>
    <cellStyle name="Currency 12" xfId="767" xr:uid="{FA2E30E8-F772-4EC5-8B7C-41454A9F45F6}"/>
    <cellStyle name="Currency 13" xfId="768" xr:uid="{AFB4474E-4D28-4CDD-991F-7092DAE9082D}"/>
    <cellStyle name="Currency 13 2" xfId="769" xr:uid="{FA48DE0B-5ABE-42D6-9EA8-0356FDC6E15A}"/>
    <cellStyle name="Currency 13 3" xfId="770" xr:uid="{1FB446BE-5DB8-4FAE-BE9C-8E26E7FA5C24}"/>
    <cellStyle name="Currency 13 4" xfId="771" xr:uid="{B5A0B3DD-AA5A-47E4-A9AC-687F0A7FAC48}"/>
    <cellStyle name="Currency 14" xfId="772" xr:uid="{B4BA2234-7E0C-46CB-85EA-B7FBC1513B1A}"/>
    <cellStyle name="Currency 15" xfId="773" xr:uid="{4B354FE4-4BD5-4FC2-A031-B84B491461B2}"/>
    <cellStyle name="Currency 16" xfId="774" xr:uid="{1D01D434-BB4F-4F42-9D07-30993C39B97C}"/>
    <cellStyle name="Currency 2" xfId="775" xr:uid="{999FAD02-F3E6-4E88-B513-BB25C6A7FABA}"/>
    <cellStyle name="Currency 2 10" xfId="776" xr:uid="{70B573AD-F675-476C-83CA-2F8FB684473D}"/>
    <cellStyle name="Currency 2 10 2" xfId="777" xr:uid="{FCAFAC5C-1039-4E6C-AEDC-7F563C364ED3}"/>
    <cellStyle name="Currency 2 10 3" xfId="778" xr:uid="{D41D4000-07D5-41DA-971D-D0DD517C8F51}"/>
    <cellStyle name="Currency 2 10 4" xfId="779" xr:uid="{F4903698-B22D-4E81-A48E-D495AA77B547}"/>
    <cellStyle name="Currency 2 11" xfId="780" xr:uid="{B8CC81E9-40E9-48B1-8708-F85258AF37B9}"/>
    <cellStyle name="Currency 2 11 2" xfId="781" xr:uid="{380CFD35-8F6C-46FC-8E8C-2B9302ABD4B6}"/>
    <cellStyle name="Currency 2 11 3" xfId="782" xr:uid="{554A4D53-715A-433D-B4EA-0DEA4B6530F0}"/>
    <cellStyle name="Currency 2 11 4" xfId="783" xr:uid="{DAE9CF60-641E-4E3F-AD3E-0628CC2BD219}"/>
    <cellStyle name="Currency 2 12" xfId="784" xr:uid="{9295CD38-FAC7-4D4B-99A7-1FDF265A473E}"/>
    <cellStyle name="Currency 2 12 2" xfId="785" xr:uid="{301AD63C-B9B2-4A91-8ACB-488CCFCB01F8}"/>
    <cellStyle name="Currency 2 12 3" xfId="786" xr:uid="{06FEFB4C-B65E-4900-BEB5-8454E52F53AC}"/>
    <cellStyle name="Currency 2 12 4" xfId="787" xr:uid="{F0AD7C2B-74EF-4D1D-88FE-93E862F38738}"/>
    <cellStyle name="Currency 2 13" xfId="788" xr:uid="{AD3DF721-F5FF-43A6-A09A-F5C10D141061}"/>
    <cellStyle name="Currency 2 13 2" xfId="789" xr:uid="{1AAEF3E5-B615-4AA5-8DF4-CA8FEC653A38}"/>
    <cellStyle name="Currency 2 13 3" xfId="790" xr:uid="{2D16B361-233E-42DF-9FBA-602A9A075A7F}"/>
    <cellStyle name="Currency 2 13 4" xfId="791" xr:uid="{B6975050-F33A-4BC6-8BF7-DB4637FEEBEB}"/>
    <cellStyle name="Currency 2 14" xfId="792" xr:uid="{8184E8BF-C78C-409D-BB80-188F18EBB3BA}"/>
    <cellStyle name="Currency 2 14 2" xfId="793" xr:uid="{15D45ACD-EBD4-45A6-AE1D-3E8C4298F276}"/>
    <cellStyle name="Currency 2 14 3" xfId="794" xr:uid="{8B95B8F7-D1FD-416C-AE4F-C500E2089B2D}"/>
    <cellStyle name="Currency 2 14 4" xfId="795" xr:uid="{AF00FF9B-F065-4C66-9FB8-2A1DCF0FFD56}"/>
    <cellStyle name="Currency 2 15" xfId="796" xr:uid="{83C65F14-D003-410A-920D-8F548326534C}"/>
    <cellStyle name="Currency 2 15 2" xfId="797" xr:uid="{1C611D7F-BE25-4E08-8CF5-1E695BF05D70}"/>
    <cellStyle name="Currency 2 15 3" xfId="798" xr:uid="{3F8CB79C-4FF1-456E-AC5E-819D6F6FE3C9}"/>
    <cellStyle name="Currency 2 15 4" xfId="799" xr:uid="{768711A3-1389-4F55-9AD7-8491DCDEDB42}"/>
    <cellStyle name="Currency 2 16" xfId="800" xr:uid="{8ED7BB1B-1D12-494B-8209-29A8B7FB6C1C}"/>
    <cellStyle name="Currency 2 16 2" xfId="801" xr:uid="{E63057EC-EE71-4A26-98AB-D779FBEE56B4}"/>
    <cellStyle name="Currency 2 16 3" xfId="802" xr:uid="{76460F0E-77A9-43A2-A765-C128D969EFAA}"/>
    <cellStyle name="Currency 2 16 4" xfId="803" xr:uid="{824C1971-71B1-4367-8A46-B45C625D4A49}"/>
    <cellStyle name="Currency 2 17" xfId="804" xr:uid="{F80DFAE1-93E5-4AFE-AFAF-3EE8E080F385}"/>
    <cellStyle name="Currency 2 17 2" xfId="805" xr:uid="{5FB3D8F0-0D66-4F17-BC86-D6540F370B2E}"/>
    <cellStyle name="Currency 2 17 3" xfId="806" xr:uid="{5B1C7DF1-35A9-46B1-8387-ADB44C1A4E14}"/>
    <cellStyle name="Currency 2 17 4" xfId="807" xr:uid="{7EEB5528-69DD-4EC9-927D-3985080B8038}"/>
    <cellStyle name="Currency 2 18" xfId="808" xr:uid="{C4C92E3B-1EA0-4681-8C29-2FD82E253833}"/>
    <cellStyle name="Currency 2 18 2" xfId="809" xr:uid="{2E45DE2B-0DA8-4272-9EC0-418CBB7B40CB}"/>
    <cellStyle name="Currency 2 18 3" xfId="810" xr:uid="{41910220-EC29-469C-9459-0FF0C7D8337B}"/>
    <cellStyle name="Currency 2 18 4" xfId="811" xr:uid="{DF78A2A9-128A-4A96-AD97-199AD1FF0F1F}"/>
    <cellStyle name="Currency 2 19" xfId="812" xr:uid="{3FA1C711-A37D-4DFB-B682-73F1B355BD65}"/>
    <cellStyle name="Currency 2 19 2" xfId="813" xr:uid="{0C7ADBE4-9339-49C2-9662-0ED8D10A22F0}"/>
    <cellStyle name="Currency 2 19 3" xfId="814" xr:uid="{31A12CC4-7532-453D-87BB-EA6DCAAFF377}"/>
    <cellStyle name="Currency 2 19 4" xfId="815" xr:uid="{EBA1BF38-CFEA-43D7-9C6B-73C3C22244B6}"/>
    <cellStyle name="Currency 2 2" xfId="816" xr:uid="{E9C2576F-6B23-48D8-BE65-74979C0B53D9}"/>
    <cellStyle name="Currency 2 2 2" xfId="817" xr:uid="{28B61B95-F550-41E3-94D5-EF8DB96A023D}"/>
    <cellStyle name="Currency 2 2 3" xfId="818" xr:uid="{28A568D5-C710-4724-9482-E3A686332506}"/>
    <cellStyle name="Currency 2 2 4" xfId="819" xr:uid="{CE308BB6-2083-4A41-8DE3-0707F5104190}"/>
    <cellStyle name="Currency 2 20" xfId="820" xr:uid="{44567807-A2AC-40B7-A7A5-014A3F0D4A34}"/>
    <cellStyle name="Currency 2 20 2" xfId="821" xr:uid="{373CA2E4-6082-49AB-ABEF-C8D7A1A917DD}"/>
    <cellStyle name="Currency 2 20 3" xfId="822" xr:uid="{C628DFCD-D2A7-4CE8-A72D-44C44BEEE416}"/>
    <cellStyle name="Currency 2 20 4" xfId="823" xr:uid="{BEFC5D11-6A95-4B07-A5BB-3709505975B3}"/>
    <cellStyle name="Currency 2 21" xfId="824" xr:uid="{8E3128D7-22A6-4769-8535-21C663F3FC3F}"/>
    <cellStyle name="Currency 2 21 2" xfId="825" xr:uid="{56E91625-3C57-4967-B378-16C40AC97F96}"/>
    <cellStyle name="Currency 2 21 3" xfId="826" xr:uid="{30299581-2963-4E88-BB52-2A24E6D6D7F9}"/>
    <cellStyle name="Currency 2 21 4" xfId="827" xr:uid="{7AC800B9-F069-41CA-9D7A-9AF47AA57431}"/>
    <cellStyle name="Currency 2 22" xfId="828" xr:uid="{1984229B-4064-40A6-8E10-353B4DCFEDB3}"/>
    <cellStyle name="Currency 2 22 2" xfId="829" xr:uid="{A89FD33F-308F-4ADB-8ABD-928504869962}"/>
    <cellStyle name="Currency 2 22 3" xfId="830" xr:uid="{843A5DCA-1242-402D-A939-01CE39EFD89B}"/>
    <cellStyle name="Currency 2 22 4" xfId="831" xr:uid="{4600165F-7353-45E6-BE53-6A5057EA6D0C}"/>
    <cellStyle name="Currency 2 23" xfId="832" xr:uid="{0FEE482A-CE52-467F-956C-705B0D4787CE}"/>
    <cellStyle name="Currency 2 24" xfId="833" xr:uid="{60188C78-E620-4A74-A9B6-ADB0140EA19A}"/>
    <cellStyle name="Currency 2 25" xfId="834" xr:uid="{09B25376-24C8-4E63-A50F-00434DB98F8E}"/>
    <cellStyle name="Currency 2 3" xfId="835" xr:uid="{4557ECCB-370F-43B2-9D6E-CCCE210E1689}"/>
    <cellStyle name="Currency 2 3 2" xfId="836" xr:uid="{3C8C6CDA-9610-4DE0-AAD8-81F14E1413B4}"/>
    <cellStyle name="Currency 2 3 3" xfId="837" xr:uid="{B67F33AA-E257-49E5-805C-FDB912009208}"/>
    <cellStyle name="Currency 2 3 4" xfId="838" xr:uid="{D7E6ED39-1EEE-426C-AE70-4C0B1A8B17CE}"/>
    <cellStyle name="Currency 2 4" xfId="839" xr:uid="{F77D9A07-16D4-46C2-A119-FC8BD31A666C}"/>
    <cellStyle name="Currency 2 4 2" xfId="840" xr:uid="{48A3117E-382C-4FCD-8224-A5CBA11A2281}"/>
    <cellStyle name="Currency 2 4 3" xfId="841" xr:uid="{AE11D55A-D80A-4AE5-9AFC-0199B568460A}"/>
    <cellStyle name="Currency 2 4 4" xfId="842" xr:uid="{2D584384-4605-4485-8D7A-FC8CD25B80FC}"/>
    <cellStyle name="Currency 2 5" xfId="843" xr:uid="{081CFD8E-4E2E-49ED-AE76-1961DAFED37B}"/>
    <cellStyle name="Currency 2 5 2" xfId="844" xr:uid="{42B36D5C-4E77-4372-899A-A4551EAD4FB4}"/>
    <cellStyle name="Currency 2 5 3" xfId="845" xr:uid="{AEBE2335-3D45-430E-8A32-CAA15A220CAA}"/>
    <cellStyle name="Currency 2 5 4" xfId="846" xr:uid="{0A2BB56B-9FF6-4C52-802F-918CBF387107}"/>
    <cellStyle name="Currency 2 6" xfId="847" xr:uid="{285A094E-BA5F-4EEB-B671-12D286530921}"/>
    <cellStyle name="Currency 2 6 2" xfId="848" xr:uid="{CD3CE864-330D-40CE-9E23-CC0327981299}"/>
    <cellStyle name="Currency 2 6 3" xfId="849" xr:uid="{3CBBE0D8-7CF2-4E3F-BAEB-85062700B462}"/>
    <cellStyle name="Currency 2 6 4" xfId="850" xr:uid="{52C65D77-CAFF-4785-8CB0-9B88B569D162}"/>
    <cellStyle name="Currency 2 7" xfId="851" xr:uid="{B8FCC458-029A-4E58-A820-B5820C4D8678}"/>
    <cellStyle name="Currency 2 7 2" xfId="852" xr:uid="{017CFA68-54C0-4AF6-93A7-B0C567E9A584}"/>
    <cellStyle name="Currency 2 7 3" xfId="853" xr:uid="{D0780E58-4800-48F7-8D92-96F59874E3B9}"/>
    <cellStyle name="Currency 2 7 4" xfId="854" xr:uid="{8F13C719-9F83-4869-89C0-140E31690F79}"/>
    <cellStyle name="Currency 2 8" xfId="855" xr:uid="{AB27B1F0-205B-488F-BDFC-79DCF51C62C5}"/>
    <cellStyle name="Currency 2 8 2" xfId="856" xr:uid="{EEA0D902-2078-4A6E-A81F-774E129E3EC4}"/>
    <cellStyle name="Currency 2 8 3" xfId="857" xr:uid="{7CBAC1A0-A448-45E0-BEBE-BD25C8856A0D}"/>
    <cellStyle name="Currency 2 8 4" xfId="858" xr:uid="{AEE3A4AF-E572-469B-A158-71E9FC8F2808}"/>
    <cellStyle name="Currency 2 9" xfId="859" xr:uid="{928CEAC9-F827-4232-870F-040D5B2835F1}"/>
    <cellStyle name="Currency 2 9 2" xfId="860" xr:uid="{F74FC714-F849-4B81-949B-82A7AA92ED87}"/>
    <cellStyle name="Currency 2 9 3" xfId="861" xr:uid="{EBD37717-D463-4432-ADA9-AE8D95D15A67}"/>
    <cellStyle name="Currency 2 9 4" xfId="862" xr:uid="{C567C8BE-90B6-4571-8E1F-C647C6CA6D90}"/>
    <cellStyle name="Currency 22" xfId="863" xr:uid="{DDDBC9FA-FA66-4FBE-8F0D-B46465701F54}"/>
    <cellStyle name="Currency 22 2" xfId="864" xr:uid="{155599E1-2439-4ACC-B0D2-917C5B9FCEB2}"/>
    <cellStyle name="Currency 22 3" xfId="865" xr:uid="{8C2D4BA2-67C3-4D7D-A937-00AB54521A95}"/>
    <cellStyle name="Currency 22 4" xfId="866" xr:uid="{BA3A5694-0A6A-40FD-8369-38F4EC576C8A}"/>
    <cellStyle name="Currency 3" xfId="867" xr:uid="{1B3BF762-A3E3-498E-B195-9F1177AB28E2}"/>
    <cellStyle name="Currency 3 10" xfId="868" xr:uid="{301B1874-04F8-4125-98AE-4D6077EC3304}"/>
    <cellStyle name="Currency 3 2" xfId="869" xr:uid="{DEFC0B29-39A4-4344-BFD7-CB67D9C61FD0}"/>
    <cellStyle name="Currency 3 2 2" xfId="870" xr:uid="{9551B1CC-05F2-48CB-9059-21387907E3D5}"/>
    <cellStyle name="Currency 3 2 3" xfId="871" xr:uid="{35932019-58A4-422A-8659-5E18DC923B1D}"/>
    <cellStyle name="Currency 3 3" xfId="872" xr:uid="{1EDDFD91-7812-43BE-9CD2-B6AADE12533E}"/>
    <cellStyle name="Currency 3 3 2" xfId="873" xr:uid="{4021D6AC-7F46-4DC4-A45E-89C8586C3310}"/>
    <cellStyle name="Currency 3 3 3" xfId="874" xr:uid="{0D2DACB3-2C9D-455B-A9AA-775763C0755F}"/>
    <cellStyle name="Currency 3 4" xfId="875" xr:uid="{77B11925-6888-42EA-AECC-13893573F05D}"/>
    <cellStyle name="Currency 3 5" xfId="876" xr:uid="{838B19BC-B21F-4BD9-B313-92502B9EF87E}"/>
    <cellStyle name="Currency 3 6" xfId="877" xr:uid="{0A60B3B6-32C4-402E-B7FA-F7F1AFA451FC}"/>
    <cellStyle name="Currency 3 6 2" xfId="878" xr:uid="{A60609DE-26EB-43DB-9219-0FB8787EEF77}"/>
    <cellStyle name="Currency 3 6 3" xfId="879" xr:uid="{0C5E6758-CA1F-46C3-92AF-699D6F6B1329}"/>
    <cellStyle name="Currency 3 6 4" xfId="880" xr:uid="{8D29939C-98F8-48E5-AD26-E357C6ADAA6D}"/>
    <cellStyle name="Currency 3 7" xfId="881" xr:uid="{B958A804-EFDA-4B33-99BA-278D8BC4DC3D}"/>
    <cellStyle name="Currency 3 8" xfId="882" xr:uid="{E47354CF-53A4-4ADF-BD5F-32BA77100AB6}"/>
    <cellStyle name="Currency 3 9" xfId="883" xr:uid="{88F31F31-A044-4CB9-BD6F-559AFB6D6330}"/>
    <cellStyle name="Currency 4" xfId="884" xr:uid="{B91AECD2-7DF4-44A5-BBA9-8D13C04F13B8}"/>
    <cellStyle name="Currency 4 2" xfId="885" xr:uid="{45B08B1B-7FB5-417E-A0D0-D260CCC357E4}"/>
    <cellStyle name="Currency 4 3" xfId="886" xr:uid="{AB083DFB-D399-40E7-969D-741BB1BC5D4D}"/>
    <cellStyle name="Currency 4 4" xfId="887" xr:uid="{A84EA123-A373-47B5-A36F-0F68638F9FAA}"/>
    <cellStyle name="Currency 4 5" xfId="888" xr:uid="{01D8D9DB-38D0-41F5-AEF3-4197077B9BD4}"/>
    <cellStyle name="Currency 4 6" xfId="889" xr:uid="{602FBB78-CC89-4BF0-B5A5-B4D1FA7A671A}"/>
    <cellStyle name="Currency 4 7" xfId="890" xr:uid="{D892B310-0D29-45F9-8AF6-70844F28D5A6}"/>
    <cellStyle name="Currency 4 8" xfId="891" xr:uid="{EEB74ED5-585E-4B15-86D0-ABFA65260E3C}"/>
    <cellStyle name="Currency 5" xfId="892" xr:uid="{90C9A1B6-E0E3-4BA7-BD7C-FA2EEE315708}"/>
    <cellStyle name="Currency 5 2" xfId="893" xr:uid="{A3319CF7-57CC-4E0B-83AE-D106EFB9DCA1}"/>
    <cellStyle name="Currency 5 3" xfId="894" xr:uid="{2EC4923A-0634-46DD-BC16-EDBD412A289B}"/>
    <cellStyle name="Currency 5 4" xfId="895" xr:uid="{02734EF5-47C9-4AD4-8B45-28F8E747780F}"/>
    <cellStyle name="Currency 5 5" xfId="896" xr:uid="{27B6FDFF-33CB-4794-BAD1-C8545B855E11}"/>
    <cellStyle name="Currency 6" xfId="897" xr:uid="{1D0E560B-8ACF-4B71-98A2-501BF2306E24}"/>
    <cellStyle name="Currency 6 2" xfId="898" xr:uid="{9D6673F6-98B7-44A2-A883-851862BE7EF9}"/>
    <cellStyle name="Currency 6 3" xfId="899" xr:uid="{E06AF08C-98F6-4C39-9537-47AA60227935}"/>
    <cellStyle name="Currency 7" xfId="900" xr:uid="{D87024C1-22C8-4BCA-8EF6-7ABE6527C810}"/>
    <cellStyle name="Currency 8" xfId="901" xr:uid="{AFA162FD-43F8-43B0-B6C3-D457DC04298E}"/>
    <cellStyle name="Currency 9" xfId="902" xr:uid="{26CC3483-1DDA-4601-8102-322E88564120}"/>
    <cellStyle name="Currency0" xfId="903" xr:uid="{A8CFF8E9-B298-4A56-82DB-C25FF0D96DB4}"/>
    <cellStyle name="Currency0 2" xfId="904" xr:uid="{BF26BC1A-2577-4792-BBB6-52117426C96B}"/>
    <cellStyle name="Currency0 2 2" xfId="905" xr:uid="{4617983C-462F-4B98-8E1F-878EF6091FF8}"/>
    <cellStyle name="Currency0 3" xfId="906" xr:uid="{1C2430E5-74C1-466E-A654-CF9FBCD3FEF1}"/>
    <cellStyle name="Currency0 3 2" xfId="907" xr:uid="{8914CD43-67A4-42C6-999C-E5942B23CE2A}"/>
    <cellStyle name="Currency0 4" xfId="908" xr:uid="{9CF7043C-4FF7-49A7-80E4-BCB7D7251A41}"/>
    <cellStyle name="Currency0 5" xfId="909" xr:uid="{CE1AE79F-9573-47D4-ADBA-0239F081E348}"/>
    <cellStyle name="Currency0_Abt API Budget Draft 6-26-09 CONFIDENTIAL" xfId="910" xr:uid="{DC5EFC3F-200B-4B6A-8957-4610B9176F63}"/>
    <cellStyle name="Date" xfId="911" xr:uid="{DBA2959B-D0DF-4D4B-95F5-1AE54DF658AC}"/>
    <cellStyle name="Date 2" xfId="912" xr:uid="{5D96B10E-F6D5-4AF0-A8A1-0E8B3ABDB55D}"/>
    <cellStyle name="Date 3" xfId="913" xr:uid="{0AFB6C08-3544-43C4-BEEA-000535DAA03E}"/>
    <cellStyle name="Date 4" xfId="914" xr:uid="{F4CAA808-BE91-4ADB-90D6-529DF0C5F109}"/>
    <cellStyle name="Date 5" xfId="915" xr:uid="{B58CD095-D2A2-4866-8D80-4503DD1A4847}"/>
    <cellStyle name="Date_Abt API Budget Draft 6-26-09 CONFIDENTIAL" xfId="916" xr:uid="{6855E43F-0173-4E8E-BECE-5A8913FD1838}"/>
    <cellStyle name="Emphasis 1" xfId="917" xr:uid="{D407E6B9-6B54-4E4E-91C3-008F947F2468}"/>
    <cellStyle name="Emphasis 2" xfId="918" xr:uid="{B13842E2-887D-4997-B299-280900BA2010}"/>
    <cellStyle name="Emphasis 3" xfId="919" xr:uid="{0428C30A-AE45-4915-AF0C-66BE6D0B4F1C}"/>
    <cellStyle name="Encabezado 4" xfId="920" xr:uid="{0816458F-23A2-4D09-8F52-24BF25411194}"/>
    <cellStyle name="Énfasis1" xfId="921" xr:uid="{C85B900F-7B3F-4103-8F30-78D41B9D7DD5}"/>
    <cellStyle name="Énfasis2" xfId="922" xr:uid="{1BF0B354-57BF-445E-A564-D985C57BE8EA}"/>
    <cellStyle name="Énfasis3" xfId="923" xr:uid="{10424DA7-3CA0-4587-8BCF-F0F2D7AE9735}"/>
    <cellStyle name="Énfasis4" xfId="924" xr:uid="{076FF056-D0DE-4075-BD9F-D6DA3E72F2E0}"/>
    <cellStyle name="Énfasis5" xfId="925" xr:uid="{F9567F51-0FC6-4C70-A148-206CB7A6F2E4}"/>
    <cellStyle name="Énfasis6" xfId="926" xr:uid="{8982A3D7-FD32-4D91-A7C9-2815F98FB2F7}"/>
    <cellStyle name="Entrada" xfId="927" xr:uid="{9D62AE3D-AB71-4408-8D53-F77B3790ECAC}"/>
    <cellStyle name="Entrée" xfId="928" xr:uid="{DF31BEDA-21B8-49A0-BB25-9C2832AF1A16}"/>
    <cellStyle name="Entrée 2" xfId="929" xr:uid="{91061067-4510-4C33-A63D-BC4B65011D44}"/>
    <cellStyle name="Estilo 1" xfId="930" xr:uid="{90BB9913-6751-4AD0-A57A-7CFFDCD50F85}"/>
    <cellStyle name="Euro" xfId="931" xr:uid="{EA79E5F1-6A6A-4009-B846-DF9249F8ACBD}"/>
    <cellStyle name="Euro 2" xfId="932" xr:uid="{983EABCE-E994-4B97-BAA3-0253A20C625F}"/>
    <cellStyle name="Euro 2 2" xfId="933" xr:uid="{3910DC77-008E-4762-96ED-83D4A412D928}"/>
    <cellStyle name="Euro 2 3" xfId="934" xr:uid="{A894628E-774A-4205-853D-9F5CE7BD6FE6}"/>
    <cellStyle name="Euro 2 4" xfId="935" xr:uid="{4F66D240-E3D2-48F8-A83B-BE512C166AE2}"/>
    <cellStyle name="Euro 3" xfId="936" xr:uid="{9017A888-D346-4CC9-8F04-9CC239A23206}"/>
    <cellStyle name="Euro 3 2" xfId="937" xr:uid="{82013B53-7B54-4FBA-AB99-82C57E8BBD36}"/>
    <cellStyle name="Euro 4" xfId="938" xr:uid="{0F35D2D5-D192-4F39-83BF-C31ABE09D843}"/>
    <cellStyle name="Euro 5" xfId="939" xr:uid="{A8CB4B7F-EE1F-4A2E-9A4B-4298BEAA1AF7}"/>
    <cellStyle name="Euro_USAID ZIM AIED SOW" xfId="940" xr:uid="{EE7BED5A-798A-48B4-8424-5B7973EA8FB3}"/>
    <cellStyle name="Excel Built-in Normal" xfId="941" xr:uid="{7BFC4F2C-5BB5-4747-BBA0-D0B5EECA71D8}"/>
    <cellStyle name="Excel Built-in Normal 2" xfId="942" xr:uid="{6905B6B8-36B0-4E14-A42C-68B1D24680A6}"/>
    <cellStyle name="Explanatory Text 2" xfId="943" xr:uid="{844D951C-0FC4-4699-AB18-FE289226F661}"/>
    <cellStyle name="Explanatory Text 2 2" xfId="944" xr:uid="{5E39977D-FFEA-453A-A3F5-FA1459EC75C9}"/>
    <cellStyle name="F2" xfId="945" xr:uid="{4A448E21-603F-4DB0-B821-269B07B99227}"/>
    <cellStyle name="F3" xfId="946" xr:uid="{F92CC4D2-3F5E-4AE5-A883-DA38C42161A4}"/>
    <cellStyle name="F3 2" xfId="947" xr:uid="{9C3AA4AC-A8BC-4CC8-83AC-898F4C0F631B}"/>
    <cellStyle name="F3 3" xfId="948" xr:uid="{977C7AB2-8562-42A6-910A-F758C6EC0412}"/>
    <cellStyle name="F3 4" xfId="949" xr:uid="{4689B0FD-1FC5-45EF-B81E-C5C21275B771}"/>
    <cellStyle name="F4" xfId="950" xr:uid="{2333FA4E-CD4A-47BF-BD19-1B8E3A53ACA8}"/>
    <cellStyle name="F5" xfId="951" xr:uid="{36B03B16-6177-4B85-AE95-B55F20DF4D98}"/>
    <cellStyle name="F6" xfId="952" xr:uid="{C9AB160A-EF85-4D15-B6D7-739EB724CB08}"/>
    <cellStyle name="F7" xfId="953" xr:uid="{9261729B-0CDD-4659-A6F7-9C273ED77822}"/>
    <cellStyle name="F8" xfId="954" xr:uid="{A429D7F2-1378-4809-B152-83E30601B772}"/>
    <cellStyle name="Fecha" xfId="955" xr:uid="{7B1EDAC5-DE10-4C9B-8DF7-8E8233BB9B20}"/>
    <cellStyle name="Fecha 2" xfId="956" xr:uid="{D5EEDF9D-9CBD-4CA3-B3F9-4B6184FB7472}"/>
    <cellStyle name="Fixed" xfId="957" xr:uid="{E6B3FBA7-C080-4866-8D09-2FB65124E235}"/>
    <cellStyle name="Fixed 2" xfId="958" xr:uid="{8C70B869-A70E-4FCA-A27A-7E86F9EF0FE5}"/>
    <cellStyle name="Fixed 2 2" xfId="959" xr:uid="{31B7DEB0-83A4-4751-870E-88250DCFC6A8}"/>
    <cellStyle name="Fixed 3" xfId="960" xr:uid="{8790BF30-7FEE-48B6-A717-C49B0E173B98}"/>
    <cellStyle name="Fixed 4" xfId="961" xr:uid="{9B1409BC-9783-4DAA-81E1-891BC68AB094}"/>
    <cellStyle name="Fixed 5" xfId="962" xr:uid="{B97B769F-BEBA-491E-BCA3-99F0844C5A35}"/>
    <cellStyle name="Fixed_Abt API Budget Draft 6-26-09 CONFIDENTIAL" xfId="963" xr:uid="{917700A2-56AD-4A5C-A96D-08B3BBC6C88E}"/>
    <cellStyle name="FRxAmtStyle" xfId="964" xr:uid="{1519EC74-52D9-4823-B996-FCF2ED9EEE8D}"/>
    <cellStyle name="FRxCurrStyle" xfId="965" xr:uid="{BA0DE82E-5522-4509-B13A-C19C75B9480D}"/>
    <cellStyle name="FRxPcntStyle" xfId="966" xr:uid="{03172AAB-38B4-4D8C-983C-D3CBAB2C99E9}"/>
    <cellStyle name="Good 2" xfId="967" xr:uid="{B5895C9B-3DAF-4677-B272-0995D776B1DD}"/>
    <cellStyle name="Good 2 2" xfId="968" xr:uid="{43F3AD9D-F24E-44EF-9A39-7D2C58A362AA}"/>
    <cellStyle name="Heading 1 2" xfId="969" xr:uid="{FD47E4D1-DD78-44C6-A319-A6105956D4A4}"/>
    <cellStyle name="Heading 1 2 2" xfId="970" xr:uid="{87EA48EA-17F1-4E2B-9A86-FFB559231FA2}"/>
    <cellStyle name="Heading 1 2 3" xfId="971" xr:uid="{C68A5F7E-42C4-495E-A3AE-D4884537E2E7}"/>
    <cellStyle name="Heading 1 2 4" xfId="972" xr:uid="{B8FEDC2E-3FF0-45B4-ACB4-015B0F7DF0BA}"/>
    <cellStyle name="Heading 1 3" xfId="973" xr:uid="{8D0BE4E7-4D3D-4D66-9309-26CDB3522E05}"/>
    <cellStyle name="Heading 2 2" xfId="974" xr:uid="{07DC6D77-4201-47C5-A3EB-AE3D7396F7D1}"/>
    <cellStyle name="Heading 2 2 2" xfId="975" xr:uid="{4454226C-3C14-468C-AE77-1A2BAA61520A}"/>
    <cellStyle name="Heading 2 2 3" xfId="976" xr:uid="{5B862F57-EC0C-4004-B7D6-5546ED4656C2}"/>
    <cellStyle name="Heading 2 2 4" xfId="977" xr:uid="{12417B7C-47BD-41CE-91A5-78190A41F695}"/>
    <cellStyle name="Heading 2 3" xfId="978" xr:uid="{7A221BD6-D384-470B-9EA5-816BC66ADA72}"/>
    <cellStyle name="Heading 3 2" xfId="979" xr:uid="{F71FA6B7-C68A-48FB-BE0E-70EB14098C3B}"/>
    <cellStyle name="Heading 3 2 2" xfId="980" xr:uid="{FF5E852C-475F-4433-B44C-EDB38C593AF6}"/>
    <cellStyle name="Heading 3 2 2 2" xfId="981" xr:uid="{A0055EBB-C795-4FB5-8E09-F8B874972845}"/>
    <cellStyle name="Heading 3 2 3" xfId="982" xr:uid="{951031B7-5958-4255-BB8E-FC590484673D}"/>
    <cellStyle name="Heading 4 2" xfId="983" xr:uid="{BB3F38D0-EC6E-4847-BE93-D48C2554C42B}"/>
    <cellStyle name="Heading 4 2 2" xfId="984" xr:uid="{629CE5DA-C1FE-4D75-AB36-9855F6312EEA}"/>
    <cellStyle name="HEADING1" xfId="985" xr:uid="{B3A66B72-E1D8-4CD8-B518-02CCFEA3ADF3}"/>
    <cellStyle name="Heading1 2" xfId="986" xr:uid="{B22CDB92-997F-4182-955E-1EA2EF3F6BCE}"/>
    <cellStyle name="Heading1 3" xfId="987" xr:uid="{707B57D5-AE04-4E99-9349-269D760E7610}"/>
    <cellStyle name="Heading1_USAID ZIM AIED SOW" xfId="988" xr:uid="{A8B732B8-08A7-4D98-AB2C-0E920AAD3E1B}"/>
    <cellStyle name="HEADING2" xfId="989" xr:uid="{8D294D92-3FD6-4B5B-9291-C16192F2691F}"/>
    <cellStyle name="Heading2 2" xfId="990" xr:uid="{AA0B8C89-D58B-44B6-AC0A-6BA23E48B391}"/>
    <cellStyle name="Heading2 3" xfId="991" xr:uid="{405B5A95-048A-4F6C-9ADF-4C137129FC83}"/>
    <cellStyle name="Heading2_USAID ZIM AIED SOW" xfId="992" xr:uid="{300C2A03-588A-40B3-B4E9-7DF517D835B1}"/>
    <cellStyle name="Hyperlink 2" xfId="993" xr:uid="{229A6966-97FB-4032-947A-70E77D8CF4DC}"/>
    <cellStyle name="Hyperlink 2 2" xfId="994" xr:uid="{27BAFD0B-B7C5-49D9-8F53-1A60CE9D77E6}"/>
    <cellStyle name="Hyperlink 3" xfId="995" xr:uid="{7AE42A9A-407B-445C-BB79-2CA1BCA5DED7}"/>
    <cellStyle name="Hyperlink 4" xfId="996" xr:uid="{4C1B636B-48B6-469D-811D-9D29790B0048}"/>
    <cellStyle name="Hyperlink 5" xfId="997" xr:uid="{1C9CCD43-8AEE-4ADD-850E-2F73A01412DA}"/>
    <cellStyle name="Hyperlink 7" xfId="998" xr:uid="{8A86259D-4297-40E8-BEB1-F7F786DEE83F}"/>
    <cellStyle name="Incorrecto" xfId="999" xr:uid="{51EA430C-C4FF-41D3-9DDA-D33A65CD8BD4}"/>
    <cellStyle name="Input 2" xfId="1000" xr:uid="{EF39AC3B-05E4-4122-96EA-8F5B1BDB0DBF}"/>
    <cellStyle name="Input 2 2" xfId="1001" xr:uid="{D9179290-1D24-49E2-ACCA-A093AD0E8838}"/>
    <cellStyle name="Insatisfaisant" xfId="1002" xr:uid="{B187DEC7-3BF1-4323-950C-85A88F9185F3}"/>
    <cellStyle name="Insatisfaisant 2" xfId="1003" xr:uid="{3256C088-9507-4594-BF63-435FDBDD7B6B}"/>
    <cellStyle name="Linked Cell 2" xfId="1004" xr:uid="{1F619DB1-64C8-497F-8924-546CEAB4EE42}"/>
    <cellStyle name="Linked Cell 2 2" xfId="1005" xr:uid="{D98D5E99-4AAC-431C-93BE-1DB252BBFF92}"/>
    <cellStyle name="Locked" xfId="1006" xr:uid="{CC60A44F-6428-48C3-B25F-1C0CCFF5547D}"/>
    <cellStyle name="Locked 2" xfId="1007" xr:uid="{C06ABEE1-EB5D-4E4C-86E1-C2DEE7DBB432}"/>
    <cellStyle name="Migliaia_Plan of Action and Budget 2006 - 2008  Zanzibarl" xfId="1008" xr:uid="{3EECD3F2-34F2-469D-BE03-EA6FEA5932EF}"/>
    <cellStyle name="Millares [0]_Calculo Personal Alianza ONG" xfId="1009" xr:uid="{A46ECD55-AC54-4E4D-8E96-A2628F7BB0EC}"/>
    <cellStyle name="Millares 2" xfId="1010" xr:uid="{D80238F1-9122-455D-B0BD-CDAF97FF24A2}"/>
    <cellStyle name="Millares 2 2" xfId="1011" xr:uid="{9A00D0E1-B754-470A-8292-468BAAB8415F}"/>
    <cellStyle name="Millares 2 3" xfId="1012" xr:uid="{F16C4CB7-9E8E-4977-9D0F-BAB890AD9A49}"/>
    <cellStyle name="Millares 2 4" xfId="1013" xr:uid="{1320ED8D-47DB-4D76-92B6-0DCBA823D12E}"/>
    <cellStyle name="Millares 3" xfId="1014" xr:uid="{9D3F91AD-3D3D-446A-BA57-303BD226AE87}"/>
    <cellStyle name="Millares 3 2" xfId="1015" xr:uid="{BD5D3358-39F0-4AF2-AC3C-DF74805A01D0}"/>
    <cellStyle name="Millares 3 3" xfId="1016" xr:uid="{EC815410-C641-4173-9117-8ADA9FBB7DB0}"/>
    <cellStyle name="Millares 3 4" xfId="1017" xr:uid="{5636EB46-B940-4A21-9AE6-948BB88F16F4}"/>
    <cellStyle name="Millares 4" xfId="1018" xr:uid="{CC457C16-B4E4-4875-816F-7169B231C1C0}"/>
    <cellStyle name="Millares 4 2" xfId="1019" xr:uid="{3680F048-85EB-4855-9160-85407EBED980}"/>
    <cellStyle name="Millares 4 3" xfId="1020" xr:uid="{9457649C-3F2C-4C96-826B-D8E65BDEA258}"/>
    <cellStyle name="Millares 4 4" xfId="1021" xr:uid="{14C798C8-D975-4EB6-A9FB-23033619705E}"/>
    <cellStyle name="Millares 5" xfId="1022" xr:uid="{E1DA39B8-0A83-44E5-BD44-9F46726C9776}"/>
    <cellStyle name="Millares 5 2" xfId="1023" xr:uid="{3D7C5004-3E7A-4E50-88F9-F987F42ECC79}"/>
    <cellStyle name="Millares 5 3" xfId="1024" xr:uid="{D2AA3B50-27DC-4C3C-91D8-0B640DFDB734}"/>
    <cellStyle name="Millares 5 4" xfId="1025" xr:uid="{BF7F6FF4-18E5-4181-B312-3AF7B77974FC}"/>
    <cellStyle name="Milliers 2" xfId="1026" xr:uid="{5BCD7182-9A60-4EB9-9606-B75A156281EB}"/>
    <cellStyle name="Milliers_06 09 04 MC" xfId="1027" xr:uid="{4C539A74-6455-4991-B747-16EF564DE59D}"/>
    <cellStyle name="Moeda_Jul06 - Pact Inc" xfId="1028" xr:uid="{3FBD4481-3682-442D-B0E8-D26F5511D297}"/>
    <cellStyle name="Monétaire 2" xfId="1029" xr:uid="{4871EFD5-CB87-41B0-A3D8-0C540CE278DA}"/>
    <cellStyle name="Neutral 2" xfId="1030" xr:uid="{C1B1D17E-56FB-4DBF-850C-3AF8498008A0}"/>
    <cellStyle name="Neutral 2 2" xfId="1031" xr:uid="{DA422744-1518-4B85-9F07-91A23AA1D912}"/>
    <cellStyle name="Neutrale" xfId="1032" xr:uid="{00E5A465-5C92-485B-8F46-01735185E5EC}"/>
    <cellStyle name="Neutre" xfId="1033" xr:uid="{DA72E5A4-83EE-41F2-BC87-2873236BF9CD}"/>
    <cellStyle name="Neutre 2" xfId="1034" xr:uid="{760E7C7A-A002-4214-BDD6-B94D1298BAE5}"/>
    <cellStyle name="Normal" xfId="0" builtinId="0"/>
    <cellStyle name="Normal 10" xfId="1035" xr:uid="{F2AD8A4C-3DD6-4E42-93F8-ACE2EFD22FA4}"/>
    <cellStyle name="Normal 10 2" xfId="1036" xr:uid="{3E7433CE-2705-439D-ABF0-620FF5C3B807}"/>
    <cellStyle name="Normal 10 2 2" xfId="1037" xr:uid="{B6271E30-88AC-4A7D-B33F-1BEF99577EE3}"/>
    <cellStyle name="Normal 10 3" xfId="1038" xr:uid="{24DFE892-B000-4099-A409-F47BA62F655F}"/>
    <cellStyle name="Normal 10 3 2" xfId="1039" xr:uid="{A4EBEC27-6DC6-4D40-B528-9C864015B0DE}"/>
    <cellStyle name="Normal 10 3 3" xfId="1040" xr:uid="{844A3D84-8713-47E2-9593-767C7953BBD0}"/>
    <cellStyle name="Normal 10 3 4" xfId="1041" xr:uid="{D687522F-A86F-429D-B981-445F40DC1330}"/>
    <cellStyle name="Normal 10 4" xfId="1042" xr:uid="{9F52A89F-D1EF-4A93-9B23-5791F0484FF6}"/>
    <cellStyle name="Normal 10 5" xfId="1043" xr:uid="{FCA3E199-720E-4B12-AD41-589F20CE2F6C}"/>
    <cellStyle name="Normal 10 6" xfId="1044" xr:uid="{5CE3F99B-58A2-44B9-AA69-B863AD1D0CFA}"/>
    <cellStyle name="Normal 11" xfId="1045" xr:uid="{649DCB17-AE9D-427A-8598-F1747845E606}"/>
    <cellStyle name="Normal 11 2" xfId="1046" xr:uid="{CCEC4031-923C-4958-BD6F-0315395CCC9D}"/>
    <cellStyle name="Normal 11 3" xfId="1047" xr:uid="{8287073B-9B30-441D-85CC-26B1AA9E838B}"/>
    <cellStyle name="Normal 12" xfId="1048" xr:uid="{FFF289F4-CE03-4413-BD2F-039F172A539B}"/>
    <cellStyle name="Normal 12 2" xfId="1049" xr:uid="{B6EE8267-883A-4728-8DCD-232F06F5D316}"/>
    <cellStyle name="Normal 12 3" xfId="1050" xr:uid="{C5EF8B3C-1005-4D2B-8BC4-D72BDDB5003E}"/>
    <cellStyle name="Normal 13" xfId="1051" xr:uid="{28555ADD-B7D4-47DB-B945-1256A5B8FD0C}"/>
    <cellStyle name="Normal 13 2" xfId="1052" xr:uid="{4F264CC2-5E36-4007-9E79-1A4018B58EF4}"/>
    <cellStyle name="Normal 13 3" xfId="1053" xr:uid="{D3102163-0B50-4074-99BE-6C44EBB8E041}"/>
    <cellStyle name="Normal 14" xfId="1054" xr:uid="{9B34FBF2-C4D2-4227-A14B-6C2EE3F0BA93}"/>
    <cellStyle name="Normal 14 2" xfId="1055" xr:uid="{A4476348-8F30-4FA3-B708-C62C070185F8}"/>
    <cellStyle name="Normal 14 2 2" xfId="1056" xr:uid="{E102FBFA-1E48-4F34-A2E8-7E43D226EA12}"/>
    <cellStyle name="Normal 14 2 3" xfId="1057" xr:uid="{48D325A5-9C1A-4CE2-8280-18D3BB6E65BD}"/>
    <cellStyle name="Normal 14 2 4" xfId="1058" xr:uid="{27148B3B-F56D-45D0-89B4-8275CD40C085}"/>
    <cellStyle name="Normal 14 3" xfId="1059" xr:uid="{0E49A90D-830E-42A3-99F4-924D10785011}"/>
    <cellStyle name="Normal 14 4" xfId="1060" xr:uid="{9ADDF4C0-6345-4D88-BA4C-7DFC358D4AC0}"/>
    <cellStyle name="Normal 14 5" xfId="1061" xr:uid="{6896B7AF-DE50-4C5D-B5CF-C7B9A60D96A5}"/>
    <cellStyle name="Normal 15" xfId="1062" xr:uid="{56F5059A-6CDA-4E88-A9A7-4B2596C6AE62}"/>
    <cellStyle name="Normal 15 2" xfId="1063" xr:uid="{154E1241-5BFD-4249-A3DA-0AB859FD3F2A}"/>
    <cellStyle name="Normal 15 3" xfId="1064" xr:uid="{BFB4D404-2003-483D-BFC3-9511DC688104}"/>
    <cellStyle name="Normal 15 4" xfId="1065" xr:uid="{D3EABB31-7A60-45D5-B19A-154E209313C4}"/>
    <cellStyle name="Normal 16" xfId="1066" xr:uid="{EBBD69B8-5010-402F-B7CD-E6DCEDCD533F}"/>
    <cellStyle name="Normal 16 2" xfId="1067" xr:uid="{2762BCA4-7CA8-4262-9511-A5385C5D4613}"/>
    <cellStyle name="Normal 17" xfId="1068" xr:uid="{56BC5E6E-DBA6-4B92-926E-B4A9C25D663D}"/>
    <cellStyle name="Normal 18" xfId="1069" xr:uid="{163260A0-F5A3-44A0-B76A-D028CD99D54E}"/>
    <cellStyle name="Normal 19" xfId="1070" xr:uid="{EF19256F-7C30-48A7-8E01-1812CA0AF509}"/>
    <cellStyle name="Normal 2" xfId="1071" xr:uid="{74A89504-D14A-4B13-A4D4-EF396C977D0E}"/>
    <cellStyle name="Normal 2 10" xfId="1072" xr:uid="{5207651B-155D-4EAA-B21B-D38DD80DD236}"/>
    <cellStyle name="Normal 2 11" xfId="1073" xr:uid="{BB1E5EFC-C4CB-404F-AEA5-8EC0F44E7699}"/>
    <cellStyle name="Normal 2 11 2" xfId="1074" xr:uid="{0C615BF4-B654-46A6-9AEF-B58D40544C7D}"/>
    <cellStyle name="Normal 2 11 3" xfId="1075" xr:uid="{CB86D0CD-5129-42F0-91E7-E268248835AA}"/>
    <cellStyle name="Normal 2 11 4" xfId="1076" xr:uid="{5D5016D4-08DC-454A-AC9D-70F9E3685D85}"/>
    <cellStyle name="Normal 2 12" xfId="1077" xr:uid="{36144698-CDA7-4C84-82D8-D9A193FE1B2A}"/>
    <cellStyle name="Normal 2 2" xfId="1078" xr:uid="{3BF7B585-291A-4458-A160-18FA5541E34A}"/>
    <cellStyle name="Normal 2 2 2" xfId="1079" xr:uid="{D6B5108E-6C05-4C5F-8018-956F491E2B06}"/>
    <cellStyle name="Normal 2 2 2 2" xfId="1080" xr:uid="{1CFEE988-13D9-4942-AEA1-EDF097B2EC6A}"/>
    <cellStyle name="Normal 2 2 2 2 2" xfId="1081" xr:uid="{4FFD7141-31A8-4B93-B348-DA1847F5EC45}"/>
    <cellStyle name="Normal 2 2 2 2 3" xfId="1082" xr:uid="{F70CF2A3-5238-4373-B341-BEEB74106C52}"/>
    <cellStyle name="Normal 2 2 2 3" xfId="1083" xr:uid="{AB3E37DC-89F8-4D71-B53A-E20F662D8580}"/>
    <cellStyle name="Normal 2 2 2 4" xfId="1084" xr:uid="{749B680F-4EF5-4F9B-921C-8A3F89673436}"/>
    <cellStyle name="Normal 2 2 2_Abt CHASS Budget 10-12-10" xfId="1085" xr:uid="{585EB0E3-F6EE-4B05-8A80-962C5A5E9934}"/>
    <cellStyle name="Normal 2 2 3" xfId="1086" xr:uid="{C519EB7E-0D67-45DE-A4A8-BFD56A5BF8FA}"/>
    <cellStyle name="Normal 2 2 3 2" xfId="1087" xr:uid="{7A80BEEE-9106-4AA2-AF44-B81966F9778B}"/>
    <cellStyle name="Normal 2 2 3 2 2" xfId="1088" xr:uid="{6CA441F0-25F2-49A5-A4DC-2DCE050A629B}"/>
    <cellStyle name="Normal 2 2 3 2 3" xfId="1089" xr:uid="{75A91F6D-431E-4288-A62D-3F6B62F20BBD}"/>
    <cellStyle name="Normal 2 2 3 3" xfId="1090" xr:uid="{48CF8B04-B2D6-434F-9348-024CBE56A8D7}"/>
    <cellStyle name="Normal 2 2 3 4" xfId="1091" xr:uid="{8DC2EB95-ADA4-4EAA-A81A-DAD487B517D7}"/>
    <cellStyle name="Normal 2 2 3 5" xfId="1092" xr:uid="{F815D5F8-E5EA-4F84-A8C6-08978FA40687}"/>
    <cellStyle name="Normal 2 2 3_Abt CHASS Budget 10-12-10" xfId="1093" xr:uid="{50057641-AC0D-46EE-A520-56BE219C97B1}"/>
    <cellStyle name="Normal 2 2 4" xfId="1094" xr:uid="{E552CCEE-CCCA-4E61-8884-CA70384FE5B8}"/>
    <cellStyle name="Normal 2 2 4 2" xfId="1095" xr:uid="{A385822E-DB6E-45AA-BDF7-CFB86CF372F7}"/>
    <cellStyle name="Normal 2 2 4 3" xfId="1096" xr:uid="{D06AFE83-4640-47A6-A23C-5D449E527C74}"/>
    <cellStyle name="Normal 2 2 5" xfId="1097" xr:uid="{0562997D-F6FD-4B5B-8311-949347B48AF8}"/>
    <cellStyle name="Normal 2 2 6" xfId="1098" xr:uid="{E10FD256-7307-4889-9E27-EFB68C4A816A}"/>
    <cellStyle name="Normal 2 2 7" xfId="1099" xr:uid="{3E1115F8-5436-465E-AAE6-ECEF8476BDC1}"/>
    <cellStyle name="Normal 2 2 8" xfId="1100" xr:uid="{0EB1F42D-C64B-4412-B64C-3BB2563E4D49}"/>
    <cellStyle name="Normal 2 2_Abt Associates Tanzania Febrile Illness DRAFT budget 10-12-2010" xfId="1101" xr:uid="{F08C78AC-EE66-43CE-9C6B-1505FEB41C51}"/>
    <cellStyle name="Normal 2 3" xfId="1102" xr:uid="{9518A9F0-204E-4A2E-BEF8-CF0C02AFA2A1}"/>
    <cellStyle name="Normal 2 3 2" xfId="1103" xr:uid="{0FDADD72-4231-4821-B4CF-77E737B62066}"/>
    <cellStyle name="Normal 2 3 2 2" xfId="1104" xr:uid="{60F031E5-6A4B-4103-AF39-6CFD196AA6A6}"/>
    <cellStyle name="Normal 2 3 2 3" xfId="1105" xr:uid="{9A6FF5B2-ACCE-492D-8009-E4B89C0EC401}"/>
    <cellStyle name="Normal 2 3 3" xfId="1106" xr:uid="{33739ED7-CD70-4471-910F-3963FF484B54}"/>
    <cellStyle name="Normal 2 3 3 2" xfId="1107" xr:uid="{D21D4915-9335-438A-8E2D-91E53C9D4C8E}"/>
    <cellStyle name="Normal 2 3 4" xfId="1108" xr:uid="{E464F305-901C-4D81-BEF7-123C3A22EE1D}"/>
    <cellStyle name="Normal 2 3 5" xfId="1109" xr:uid="{D50F22E3-9AB8-4738-B317-ED6ECA6EDD54}"/>
    <cellStyle name="Normal 2 4" xfId="1110" xr:uid="{1B1AB76C-DEF3-4615-9A58-EDE9CD49DFCE}"/>
    <cellStyle name="Normal 2 4 2" xfId="1111" xr:uid="{AE44AB20-8F7D-471B-8028-265538AA8B16}"/>
    <cellStyle name="Normal 2 4 3" xfId="1112" xr:uid="{3DAA6D37-55F7-4F72-897D-FEE7735B49AD}"/>
    <cellStyle name="Normal 2 5" xfId="1113" xr:uid="{6CDEEE92-4C23-4D80-BD51-7AB0D6CE60FF}"/>
    <cellStyle name="Normal 2 5 2" xfId="1114" xr:uid="{51EF6E16-42B6-494E-85A1-D9B98C9830C8}"/>
    <cellStyle name="Normal 2 5 3" xfId="1115" xr:uid="{4CCDB30F-06D4-496C-9A9C-ECB7C471F067}"/>
    <cellStyle name="Normal 2 6" xfId="1116" xr:uid="{4EAB148E-DE1A-4EDF-90D6-0D359252D1E4}"/>
    <cellStyle name="Normal 2 7" xfId="1117" xr:uid="{3E6BF244-25B9-48B1-AB54-B7E21D546B59}"/>
    <cellStyle name="Normal 2 8" xfId="1118" xr:uid="{D74035B1-CDFF-4652-86E4-CBFB1E02220E}"/>
    <cellStyle name="Normal 2 9" xfId="1119" xr:uid="{912A8BE6-5235-4C48-B307-E9541CC5A256}"/>
    <cellStyle name="Normal 2_090806_update the common file" xfId="1120" xr:uid="{B5A7DCA8-9739-4C9C-B78A-1D9ED0B49633}"/>
    <cellStyle name="Normal 20" xfId="1121" xr:uid="{BA676E8A-9297-43A4-97DF-81A07001EC8D}"/>
    <cellStyle name="Normal 20 2" xfId="1122" xr:uid="{9AF8246F-E4F4-4970-A0F5-0B17574385DC}"/>
    <cellStyle name="Normal 20 3" xfId="1123" xr:uid="{11D759D3-D198-4364-9B13-B5AA44D4173B}"/>
    <cellStyle name="Normal 20 4" xfId="1124" xr:uid="{2F4C7391-9E36-4B40-BC70-CB9F3B254A8E}"/>
    <cellStyle name="Normal 21" xfId="1125" xr:uid="{533D07CD-0666-4CC8-9BDA-3992E5C6A7C9}"/>
    <cellStyle name="Normal 21 2" xfId="1126" xr:uid="{89C52054-35ED-4CE8-8743-E7B2E553DEFF}"/>
    <cellStyle name="Normal 21 2 2" xfId="1127" xr:uid="{F99663FA-C0B9-452E-AC08-1DFC189A7E72}"/>
    <cellStyle name="Normal 21 2 2 2" xfId="1128" xr:uid="{05F8EB0E-2FBB-42A9-BD1D-27EFE32E81F3}"/>
    <cellStyle name="Normal 21 2 2 3" xfId="1129" xr:uid="{84A55328-7EB0-47FF-B000-B8977E1EB41A}"/>
    <cellStyle name="Normal 21 2 2 4" xfId="1130" xr:uid="{D8B6CF2D-4B3E-44C7-974E-FBC32F5D5EFB}"/>
    <cellStyle name="Normal 21 2 3" xfId="1131" xr:uid="{786E724C-67B4-46C7-B426-A74F14FD998C}"/>
    <cellStyle name="Normal 21 2 4" xfId="1132" xr:uid="{2CEF5964-2555-47A7-A7B2-53E1FCE029A1}"/>
    <cellStyle name="Normal 21 2 5" xfId="1133" xr:uid="{3C66CDFA-9E10-4C50-8F23-4B7AF82F33ED}"/>
    <cellStyle name="Normal 21 3" xfId="1134" xr:uid="{872057D9-1A16-4027-8203-CCDBB31314C2}"/>
    <cellStyle name="Normal 21 3 2" xfId="1135" xr:uid="{737510E5-4D4C-4667-84EA-F884847836B8}"/>
    <cellStyle name="Normal 21 3 3" xfId="1136" xr:uid="{F23CA7CF-7048-4432-9ACA-D143136E3CB6}"/>
    <cellStyle name="Normal 21 3 4" xfId="1137" xr:uid="{B211A59F-AC3D-4AFA-B299-54CB84638853}"/>
    <cellStyle name="Normal 21 4" xfId="1138" xr:uid="{F5B7C31C-50D1-4B23-AE32-695FA6F18EF0}"/>
    <cellStyle name="Normal 21 5" xfId="1139" xr:uid="{16C557BE-915C-4986-8F6E-F473326DA0DD}"/>
    <cellStyle name="Normal 21 6" xfId="1140" xr:uid="{19D14753-FA38-4E5D-9FAF-5D2E29001E6A}"/>
    <cellStyle name="Normal 22" xfId="1141" xr:uid="{BC7EE408-084C-44A4-A9D4-BFD214E11BFA}"/>
    <cellStyle name="Normal 22 2" xfId="1142" xr:uid="{2E78174F-C18B-44FE-BFC4-86E597E8CE52}"/>
    <cellStyle name="Normal 22 2 2" xfId="1143" xr:uid="{FBA85B55-DC56-4C42-AFFF-6E918A594DBC}"/>
    <cellStyle name="Normal 22 2 3" xfId="1144" xr:uid="{4ED9BEFE-AFFB-4D3F-8AFC-CAAF63EBD141}"/>
    <cellStyle name="Normal 22 2 4" xfId="1145" xr:uid="{18D57A4F-6E9F-4264-9D87-378F979C8D54}"/>
    <cellStyle name="Normal 22 3" xfId="1146" xr:uid="{3773E07E-9BE3-4635-899D-99B1F2E7DB17}"/>
    <cellStyle name="Normal 22 4" xfId="1147" xr:uid="{0F2952D4-98A2-4257-AB1C-6BB7E4113D89}"/>
    <cellStyle name="Normal 22 5" xfId="1148" xr:uid="{5F2394DE-6F0C-46FD-AD1E-A86816E16AD9}"/>
    <cellStyle name="Normal 23" xfId="1149" xr:uid="{F842F185-55D3-453B-BDD3-942EEF3B8A8D}"/>
    <cellStyle name="Normal 24" xfId="1150" xr:uid="{82BC2087-CB60-4EBB-8981-CC67D390D528}"/>
    <cellStyle name="Normal 24 2" xfId="1151" xr:uid="{290E343D-093D-4ECD-8B37-1651527D98F9}"/>
    <cellStyle name="Normal 24 3" xfId="1152" xr:uid="{12DB7ACA-2B9E-4541-A77F-7C29ECC7A24F}"/>
    <cellStyle name="Normal 24 4" xfId="1153" xr:uid="{B78FD96C-5885-4CC2-B6E7-FF07FDE4161A}"/>
    <cellStyle name="Normal 25" xfId="1154" xr:uid="{93A828B9-0A5D-4D86-86F7-C6435AF76F78}"/>
    <cellStyle name="Normal 25 2" xfId="1155" xr:uid="{0F8FAA71-98C3-4572-8CED-3D0AFE949844}"/>
    <cellStyle name="Normal 25 3" xfId="1156" xr:uid="{C41E8592-F093-400A-93A3-3C4500F38048}"/>
    <cellStyle name="Normal 25 4" xfId="1157" xr:uid="{BE9B6C62-10AD-4AF5-9D96-B7DFFBDD7B09}"/>
    <cellStyle name="Normal 26" xfId="1158" xr:uid="{7F552073-B95B-4190-A3D4-5FCA0FBA819C}"/>
    <cellStyle name="Normal 26 2" xfId="1159" xr:uid="{4259C175-22B5-44D3-9CDB-616EBE707A33}"/>
    <cellStyle name="Normal 26 3" xfId="1160" xr:uid="{236B8D62-F7B7-436A-A329-2341A2661400}"/>
    <cellStyle name="Normal 26 4" xfId="1161" xr:uid="{0695DA12-28A9-45D2-8C5B-A6582EB37B78}"/>
    <cellStyle name="Normal 27" xfId="1162" xr:uid="{99B318DB-1226-4B2D-8938-3F1B09613CBB}"/>
    <cellStyle name="Normal 27 2" xfId="1163" xr:uid="{8F293E1B-6E11-4D97-BC17-D2920CC6B45D}"/>
    <cellStyle name="Normal 27 3" xfId="1164" xr:uid="{5164071A-4D2B-4101-8F5A-D64C4DA37461}"/>
    <cellStyle name="Normal 27 4" xfId="1165" xr:uid="{C82FCFBE-DCCF-4A5C-A05E-9C136DB8B9EE}"/>
    <cellStyle name="Normal 28" xfId="1166" xr:uid="{457FB4EA-335F-400D-B509-A3057CEFA2E7}"/>
    <cellStyle name="Normal 28 2" xfId="1167" xr:uid="{A7F349BB-3B83-4D34-AF9E-A7843D1F6D6F}"/>
    <cellStyle name="Normal 28 3" xfId="1168" xr:uid="{A30B009D-7864-407C-8C5A-4C3EBA858179}"/>
    <cellStyle name="Normal 28 4" xfId="1169" xr:uid="{F1D557B2-AD8F-490C-9FC2-3BE16E6E07A0}"/>
    <cellStyle name="Normal 29" xfId="1170" xr:uid="{7E3419B9-22C5-46D2-B933-8690F5DDF307}"/>
    <cellStyle name="Normal 29 2" xfId="1171" xr:uid="{9CF058C6-1F9C-4C2D-B9F9-C8C57D957F93}"/>
    <cellStyle name="Normal 29 3" xfId="1172" xr:uid="{EFE06FD6-00FA-48C0-B87F-30F4947EAFEF}"/>
    <cellStyle name="Normal 29 4" xfId="1173" xr:uid="{74208B6B-4F56-4E49-89B9-56939310F30E}"/>
    <cellStyle name="Normal 3" xfId="1174" xr:uid="{FC5D2A5B-69D3-4FC1-B9A1-50D17FEBD6A4}"/>
    <cellStyle name="Normal 3 2" xfId="1175" xr:uid="{DB9E1C6F-9B61-459C-AE6B-76B7A7F59245}"/>
    <cellStyle name="Normal 3 2 2" xfId="1176" xr:uid="{B1FDCB31-9179-452F-A097-A45A940B182D}"/>
    <cellStyle name="Normal 3 2 2 2" xfId="1177" xr:uid="{D91E6396-0F43-4EF3-A055-8E10472CFDA4}"/>
    <cellStyle name="Normal 3 2 2 2 2" xfId="1178" xr:uid="{D52D42FA-5B0A-4E80-B691-2F71AD49AC89}"/>
    <cellStyle name="Normal 3 2 2 3" xfId="1179" xr:uid="{DBBABF3B-9082-4AE2-B3DB-D35FA969EC11}"/>
    <cellStyle name="Normal 3 2 2 4" xfId="1180" xr:uid="{D9A3A6FB-D509-44A0-ABF5-CB04D775E929}"/>
    <cellStyle name="Normal 3 2 2 5" xfId="1181" xr:uid="{D2563347-4986-436C-A45A-73E16396525B}"/>
    <cellStyle name="Normal 3 2 2_Abt Associates Vietnam CSR - Final USAID" xfId="1182" xr:uid="{F7E87380-8062-4AC2-87CA-6C79140945F9}"/>
    <cellStyle name="Normal 3 2 3" xfId="1183" xr:uid="{822575F1-8CC3-483B-A0CA-D3D9BAD4E90E}"/>
    <cellStyle name="Normal 3 2 4" xfId="1184" xr:uid="{D4C31C42-3CC7-424D-A57D-4C5B05AC1F8B}"/>
    <cellStyle name="Normal 3 2_Abt Associates Vietnam CSR - Final USAID" xfId="1185" xr:uid="{A071F036-D7BA-43B7-896B-D16DD4BCF193}"/>
    <cellStyle name="Normal 3 3" xfId="1186" xr:uid="{A32C60D3-6556-4BA8-98C2-38F7BA04CD70}"/>
    <cellStyle name="Normal 3 3 2" xfId="1187" xr:uid="{50CE71BD-9E1E-4E9E-AA52-0AD2E5394ED3}"/>
    <cellStyle name="Normal 3 3 3" xfId="1188" xr:uid="{3E4157B4-0357-4AE2-B387-4EF71039F662}"/>
    <cellStyle name="Normal 3 4" xfId="1189" xr:uid="{12EB4A11-DFDF-49A2-8F07-6DEF0D89534F}"/>
    <cellStyle name="Normal 3 5" xfId="1190" xr:uid="{332FAB37-43BE-426E-B2BC-37C989E57762}"/>
    <cellStyle name="Normal 3 6" xfId="1191" xr:uid="{2CEA6661-CACA-4B58-B2C4-FD3894160B72}"/>
    <cellStyle name="Normal 3 7" xfId="1192" xr:uid="{C28EDD27-8E9C-4772-82D1-13494CE7DA52}"/>
    <cellStyle name="Normal 3_Abt Associates Armenia budget - FINAL Abt" xfId="1193" xr:uid="{5C51ECDD-B241-4503-8BCE-990E6FF08E5B}"/>
    <cellStyle name="Normal 30" xfId="1194" xr:uid="{6F378BF0-378E-40D4-B49A-4CD01CC9FD69}"/>
    <cellStyle name="Normal 30 2" xfId="1195" xr:uid="{CD4B10B9-02A4-4562-ACB7-99E268F36FF7}"/>
    <cellStyle name="Normal 30 3" xfId="1196" xr:uid="{4F2839DF-DB88-40FB-A60F-E3F69D80824C}"/>
    <cellStyle name="Normal 30 4" xfId="1197" xr:uid="{5DCA3002-C83A-449A-98FC-7151A6CCEA3F}"/>
    <cellStyle name="Normal 31" xfId="1198" xr:uid="{D5277337-63DF-4FB5-9FE5-164A3575178A}"/>
    <cellStyle name="Normal 31 2" xfId="1199" xr:uid="{AD0F108C-E7DE-46DD-A495-B29DB9332558}"/>
    <cellStyle name="Normal 31 3" xfId="1200" xr:uid="{11F2645C-82D1-45DE-B8D0-A75A503DDA23}"/>
    <cellStyle name="Normal 31 4" xfId="1201" xr:uid="{22BDF5DE-C9E8-464C-92D2-044AFEAC0A80}"/>
    <cellStyle name="Normal 32" xfId="1202" xr:uid="{B9E28FEF-DA98-46EC-8703-39E96220D70A}"/>
    <cellStyle name="Normal 33" xfId="1203" xr:uid="{71AF7E83-3BF9-4CCC-A447-246AD3013AB4}"/>
    <cellStyle name="Normal 33 2" xfId="1204" xr:uid="{E19067A6-41AD-4BCE-800C-4862F49F2321}"/>
    <cellStyle name="Normal 33 3" xfId="1205" xr:uid="{F70313EC-D759-416A-BFBE-48966BF41DFE}"/>
    <cellStyle name="Normal 33 4" xfId="1206" xr:uid="{72674D6D-D72D-4D0B-96EB-C9E2BAA62984}"/>
    <cellStyle name="Normal 34" xfId="1207" xr:uid="{3A1D21B1-9E2B-4C82-ABD8-B43AB89294D8}"/>
    <cellStyle name="Normal 34 2" xfId="1208" xr:uid="{3C26D3E1-D73D-43E9-B570-206A03CE2437}"/>
    <cellStyle name="Normal 35" xfId="1209" xr:uid="{31D415FE-CE21-4E0E-857E-1969DDD1DA20}"/>
    <cellStyle name="Normal 4" xfId="1210" xr:uid="{4962FBEF-04E6-4F68-BBB3-F1A6722CD7E1}"/>
    <cellStyle name="Normal 4 2" xfId="1211" xr:uid="{A3F6B7A8-598D-4B25-8A07-C4EDF9639DFF}"/>
    <cellStyle name="Normal 4 2 2" xfId="1212" xr:uid="{23C6A813-F55F-4A43-B6AC-418A77812B76}"/>
    <cellStyle name="Normal 4 2 2 2" xfId="1213" xr:uid="{67DEDA3B-70AD-46BB-A180-7683CF28E444}"/>
    <cellStyle name="Normal 4 2 2 3" xfId="1214" xr:uid="{C21B354C-3C3F-44E1-9B4E-5A206CC2AADC}"/>
    <cellStyle name="Normal 4 2 2 4" xfId="1215" xr:uid="{534D8D08-25BC-4113-9FF7-EBAE272290EF}"/>
    <cellStyle name="Normal 4 2 3" xfId="1216" xr:uid="{A71AA5FF-0B6F-47CC-A30A-9E71B51E1636}"/>
    <cellStyle name="Normal 4 2 3 2" xfId="1217" xr:uid="{8C325D7A-14F3-4918-811C-C5A05676F64D}"/>
    <cellStyle name="Normal 4 2 3 3" xfId="1218" xr:uid="{AAF4CC96-DE5C-435E-9DB3-FB2CFBA8070D}"/>
    <cellStyle name="Normal 4 2 3 4" xfId="1219" xr:uid="{5F202477-8FF0-4578-AC66-C47BF6110990}"/>
    <cellStyle name="Normal 4 2 4" xfId="1220" xr:uid="{E3732B58-E893-4274-8B3A-8594BFF12C14}"/>
    <cellStyle name="Normal 4 2 4 2" xfId="1221" xr:uid="{6EC13284-AC88-4D71-BAB2-CA620EBAE2BC}"/>
    <cellStyle name="Normal 4 2 4 3" xfId="1222" xr:uid="{1495EC0E-C8D9-4FCF-808C-EE007F7A45DD}"/>
    <cellStyle name="Normal 4 2 4 4" xfId="1223" xr:uid="{A701841C-2353-405C-AA17-E53A593FCD68}"/>
    <cellStyle name="Normal 4 2 5" xfId="1224" xr:uid="{22056869-0E42-48D9-9976-E678134089CC}"/>
    <cellStyle name="Normal 4 2 5 2" xfId="1225" xr:uid="{7BC38781-CEE4-4B43-9306-80B20B2398B4}"/>
    <cellStyle name="Normal 4 2 5 3" xfId="1226" xr:uid="{0D7597F0-B7C4-44F5-B50D-2E0BC019AC0D}"/>
    <cellStyle name="Normal 4 2 6" xfId="1227" xr:uid="{6841AB20-1A5A-4E30-9A28-F188A2BF2208}"/>
    <cellStyle name="Normal 4 2 7" xfId="1228" xr:uid="{FD8D32D5-ADA5-414C-9884-254AE3159FC6}"/>
    <cellStyle name="Normal 4 2_Abt Associates Armenia budget - FINAL Abt" xfId="1229" xr:uid="{22EC0286-2287-4F92-AE1F-B1AD9649408A}"/>
    <cellStyle name="Normal 4 3" xfId="1230" xr:uid="{C2BD9AB8-2231-4487-8C36-1174BE96ACF5}"/>
    <cellStyle name="Normal 4 3 2" xfId="1231" xr:uid="{87511772-D8A1-476E-ACC1-F4778106F6D0}"/>
    <cellStyle name="Normal 4 3 3" xfId="1232" xr:uid="{EED7B864-99C1-4199-9A63-E9A725DCA5CE}"/>
    <cellStyle name="Normal 4 3 4" xfId="1233" xr:uid="{68C0543F-EFB1-4516-9749-8925C9B6F042}"/>
    <cellStyle name="Normal 4 3 5" xfId="1234" xr:uid="{A12407F0-9523-4ABC-88D3-F1E148C8BBFF}"/>
    <cellStyle name="Normal 4 4" xfId="1235" xr:uid="{3620A55F-342B-4487-8B85-48D2BA4A3FDC}"/>
    <cellStyle name="Normal 4 4 2" xfId="1236" xr:uid="{24E4DE2E-E4F0-4EAD-BFA3-4E59CE968031}"/>
    <cellStyle name="Normal 4 4 3" xfId="1237" xr:uid="{B72A2A3A-5486-44A6-A3DC-D6BCC7398AC2}"/>
    <cellStyle name="Normal 4 4 4" xfId="1238" xr:uid="{674E0FE1-4D2E-467D-89BE-5BEDE268DFBB}"/>
    <cellStyle name="Normal 4 4 5" xfId="1239" xr:uid="{413328A1-6DA0-4093-A3FA-C6F4EBF5F82D}"/>
    <cellStyle name="Normal 4 4 6" xfId="1240" xr:uid="{14710865-EF2C-4FF5-A54A-B10AAC3C59BA}"/>
    <cellStyle name="Normal 4 5" xfId="1241" xr:uid="{F4B2995C-9FA4-4EE8-9D8F-25EAEDEED771}"/>
    <cellStyle name="Normal 4 6" xfId="1242" xr:uid="{EDC1FA1B-494A-4A6E-9FA3-72AA41739249}"/>
    <cellStyle name="Normal 4 7" xfId="1243" xr:uid="{4DAA12EE-EAB0-406F-B15B-5A0D726316C8}"/>
    <cellStyle name="Normal 4_Abt Associates Armenia budget - FINAL Abt" xfId="1244" xr:uid="{E461BF24-B88C-431A-B1A2-6F6105C9ED2E}"/>
    <cellStyle name="Normal 5" xfId="1245" xr:uid="{081CA473-C4D0-43E4-8CF5-F32B2A6E1731}"/>
    <cellStyle name="Normal 5 10" xfId="1246" xr:uid="{BA84EAEF-70C7-4856-BBB0-23D32C33B091}"/>
    <cellStyle name="Normal 5 11" xfId="1247" xr:uid="{A5F6A338-5620-40C8-B292-7C8C719D181D}"/>
    <cellStyle name="Normal 5 12" xfId="1248" xr:uid="{1B79C7D4-6855-4F8E-AC7B-676D86B99F85}"/>
    <cellStyle name="Normal 5 13" xfId="1249" xr:uid="{4A6C1455-5D15-42C0-A6A0-A4EC5E58255F}"/>
    <cellStyle name="Normal 5 2" xfId="1250" xr:uid="{43716C88-B32F-46BC-91D1-3D36BE208615}"/>
    <cellStyle name="Normal 5 2 10" xfId="1251" xr:uid="{F32FB5F4-23AF-486E-B4FC-AC1DEB4D6271}"/>
    <cellStyle name="Normal 5 2 11" xfId="1252" xr:uid="{C7799256-AEB0-47A8-9EA1-14060A64FC85}"/>
    <cellStyle name="Normal 5 2 2" xfId="1253" xr:uid="{5ED55A92-1991-445A-AE7D-70DB64D8DB38}"/>
    <cellStyle name="Normal 5 2 2 2" xfId="1254" xr:uid="{1609F1CE-9B5B-45B0-A3F9-0A0EC5AEE764}"/>
    <cellStyle name="Normal 5 2 2 2 2" xfId="1255" xr:uid="{94A3A2EA-75DE-476E-9BB5-C5980EBFA142}"/>
    <cellStyle name="Normal 5 2 2 2 3" xfId="1256" xr:uid="{11154E28-FD7D-438F-87AA-C5483F78F73C}"/>
    <cellStyle name="Normal 5 2 2 2 4" xfId="1257" xr:uid="{4684B754-048E-4C58-8D9A-B9DEE2893E14}"/>
    <cellStyle name="Normal 5 2 2 2 5" xfId="1258" xr:uid="{FC558D3C-262C-449D-91B4-56715367ED03}"/>
    <cellStyle name="Normal 5 2 2 3" xfId="1259" xr:uid="{78D5DD5E-DE0F-47D3-84D0-EE237FFF6886}"/>
    <cellStyle name="Normal 5 2 2 4" xfId="1260" xr:uid="{5AF0216A-AE55-4648-9124-B1EC2A0D61D1}"/>
    <cellStyle name="Normal 5 2 2 5" xfId="1261" xr:uid="{02D5FC72-D1BC-47F7-864D-01BEFE27786B}"/>
    <cellStyle name="Normal 5 2 2 6" xfId="1262" xr:uid="{A6DB1762-0D7B-49FC-98E4-94ECDC9F67B0}"/>
    <cellStyle name="Normal 5 2 2 7" xfId="1263" xr:uid="{7D586FA7-284B-4B11-8144-C69CACD05EBC}"/>
    <cellStyle name="Normal 5 2 2 8" xfId="1264" xr:uid="{7FAB221A-6CAA-4A4A-8F8D-E19243915A52}"/>
    <cellStyle name="Normal 5 2 3" xfId="1265" xr:uid="{7C0EBD3D-85AD-498C-9CAF-FB0F093A3622}"/>
    <cellStyle name="Normal 5 2 3 2" xfId="1266" xr:uid="{9D03410B-598D-4E04-AE12-CE91BC00A26F}"/>
    <cellStyle name="Normal 5 2 3 3" xfId="1267" xr:uid="{DFD83477-D1E6-4BA2-8BE7-18E496214DA1}"/>
    <cellStyle name="Normal 5 2 3 4" xfId="1268" xr:uid="{05267EBC-83DC-4BFF-8400-8DDC36BDBB32}"/>
    <cellStyle name="Normal 5 2 3 5" xfId="1269" xr:uid="{B3C5C357-38AE-4AA2-A6CC-0A7C000FB5FA}"/>
    <cellStyle name="Normal 5 2 3 6" xfId="1270" xr:uid="{F146046B-B2EC-4CE5-B424-0BF1B94716F8}"/>
    <cellStyle name="Normal 5 2 3 7" xfId="1271" xr:uid="{D5849C12-C46F-488D-BEFD-D1D3146C19EA}"/>
    <cellStyle name="Normal 5 2 3 8" xfId="1272" xr:uid="{31C0D8BA-CE45-4F9C-A527-CE598893E54C}"/>
    <cellStyle name="Normal 5 2 4" xfId="1273" xr:uid="{52FC41D0-FEC3-474E-B4D1-AE3FB1F7D238}"/>
    <cellStyle name="Normal 5 2 4 2" xfId="1274" xr:uid="{D0B50A30-3AF3-41D3-8450-6FF07E190C84}"/>
    <cellStyle name="Normal 5 2 4 3" xfId="1275" xr:uid="{6BFF0DB3-A139-43A0-9FFE-1919CC97CFAA}"/>
    <cellStyle name="Normal 5 2 4 4" xfId="1276" xr:uid="{A67AA464-EF9F-438D-8527-0D1AD73E3450}"/>
    <cellStyle name="Normal 5 2 5" xfId="1277" xr:uid="{26877445-0DBB-48FD-AE18-1E258CDD61F3}"/>
    <cellStyle name="Normal 5 2 6" xfId="1278" xr:uid="{F23159D4-2884-4E9E-B1DF-7A8F8BD794DA}"/>
    <cellStyle name="Normal 5 2 7" xfId="1279" xr:uid="{DED5D496-AA9F-442E-97ED-590C079C72B8}"/>
    <cellStyle name="Normal 5 2 8" xfId="1280" xr:uid="{A4B51F25-F3DC-4760-A646-4763C66A9AC6}"/>
    <cellStyle name="Normal 5 2 9" xfId="1281" xr:uid="{EB5ED2CE-2EA8-4972-8C27-0E20824D9BF9}"/>
    <cellStyle name="Normal 5 2_Abt Associates Armenia budget - FINAL Abt" xfId="1282" xr:uid="{6B02B005-FFAC-4818-9BEB-E7C72FE29C85}"/>
    <cellStyle name="Normal 5 3" xfId="1283" xr:uid="{494092E9-ED42-4AB7-922C-F568F78BC5E5}"/>
    <cellStyle name="Normal 5 3 2" xfId="1284" xr:uid="{D5C1E477-10D6-45F0-A9EC-9C47DF4199CA}"/>
    <cellStyle name="Normal 5 3 2 2" xfId="1285" xr:uid="{21987381-9759-4C56-841D-7D2AEBE93DE4}"/>
    <cellStyle name="Normal 5 3 2 3" xfId="1286" xr:uid="{30E66EA5-8196-41A2-A482-43D5FC730939}"/>
    <cellStyle name="Normal 5 3 2 4" xfId="1287" xr:uid="{BEF0114F-6B7A-4FC4-A55A-852FFE4B5B26}"/>
    <cellStyle name="Normal 5 3 3" xfId="1288" xr:uid="{28233979-C9A7-4C84-926E-E377C97ED012}"/>
    <cellStyle name="Normal 5 3 4" xfId="1289" xr:uid="{6F02B7E8-D300-4468-87CC-54B5F1920599}"/>
    <cellStyle name="Normal 5 3 5" xfId="1290" xr:uid="{8F651247-31B7-4A4B-9F9C-9206ACAC74F6}"/>
    <cellStyle name="Normal 5 3 6" xfId="1291" xr:uid="{A8BE4B27-BA00-426E-B937-3B630829A004}"/>
    <cellStyle name="Normal 5 4" xfId="1292" xr:uid="{52E4CA88-B8AE-48F8-87AB-55C7E878A332}"/>
    <cellStyle name="Normal 5 4 2" xfId="1293" xr:uid="{0741BA4F-EB76-4326-8959-87AAFF11BAAC}"/>
    <cellStyle name="Normal 5 4 3" xfId="1294" xr:uid="{18D3CAEC-DF8D-4374-8802-297E9D6E4196}"/>
    <cellStyle name="Normal 5 4 4" xfId="1295" xr:uid="{C4A97238-4EAA-4366-923A-0CF2E542254A}"/>
    <cellStyle name="Normal 5 4 5" xfId="1296" xr:uid="{98962D14-BA9D-44FC-8849-82C7771BD36B}"/>
    <cellStyle name="Normal 5 5" xfId="1297" xr:uid="{3C71926D-03C8-4DC5-8545-F94464C05888}"/>
    <cellStyle name="Normal 5 6" xfId="1298" xr:uid="{06938DD4-F456-42F1-A561-CA01B0520F2C}"/>
    <cellStyle name="Normal 5 7" xfId="1299" xr:uid="{F1E15AC7-525C-46EF-8A8E-0FD79A47134C}"/>
    <cellStyle name="Normal 5 7 2" xfId="1300" xr:uid="{B77EEA31-AED4-44FF-A0DD-92CD5D69EFF2}"/>
    <cellStyle name="Normal 5 7 3" xfId="1301" xr:uid="{7FA344BD-C8B4-41D2-9CBE-D1F8FE57CBC8}"/>
    <cellStyle name="Normal 5 7 4" xfId="1302" xr:uid="{EA435AA0-C16D-44FC-8CED-626A9F176086}"/>
    <cellStyle name="Normal 5 8" xfId="1303" xr:uid="{E1F0BDC3-5AB5-45CB-B81C-38505BE8144D}"/>
    <cellStyle name="Normal 5 8 2" xfId="1304" xr:uid="{F5AD4466-1A57-49F7-927A-19A2F88023BB}"/>
    <cellStyle name="Normal 5 8 3" xfId="1305" xr:uid="{B3E19606-8E47-4DBE-B799-73354AC41FAB}"/>
    <cellStyle name="Normal 5 8 4" xfId="1306" xr:uid="{AE4BF181-B911-4837-B1DC-B1FA747B7883}"/>
    <cellStyle name="Normal 5 9" xfId="1307" xr:uid="{BE2C6294-DBC1-487D-9017-3437E2FFD3EB}"/>
    <cellStyle name="Normal 5_Abt Associates Armenia budget - FINAL Abt" xfId="1308" xr:uid="{FC14D272-DEBA-4A41-8A0B-9C800E0BF0D4}"/>
    <cellStyle name="Normal 6" xfId="1309" xr:uid="{D1D6A3F1-B17A-4C11-ADF6-2540688CDAAE}"/>
    <cellStyle name="Normal 6 10" xfId="1310" xr:uid="{CC0B8129-D201-4C97-851C-27EED5460B36}"/>
    <cellStyle name="Normal 6 11" xfId="1311" xr:uid="{EF781B24-72B7-4246-BC35-087ACC5173A0}"/>
    <cellStyle name="Normal 6 2" xfId="1312" xr:uid="{E1B7CE43-D588-4760-9D25-80C85B2743CA}"/>
    <cellStyle name="Normal 6 2 10" xfId="1313" xr:uid="{53BA6625-691D-4BC1-A926-E3336C407C14}"/>
    <cellStyle name="Normal 6 2 11" xfId="1314" xr:uid="{42D19C65-BD16-4E42-80A9-AC9753BC4B43}"/>
    <cellStyle name="Normal 6 2 2" xfId="1315" xr:uid="{4FFE853C-3B50-4091-BB2C-BED174F0D116}"/>
    <cellStyle name="Normal 6 2 2 2" xfId="1316" xr:uid="{D5D9400A-1DDB-440B-A7B5-A4DF7CFD922C}"/>
    <cellStyle name="Normal 6 2 2 3" xfId="1317" xr:uid="{BF68A261-A41C-4AD1-997D-205F90D728A9}"/>
    <cellStyle name="Normal 6 2 2 4" xfId="1318" xr:uid="{8EEA032A-2113-4D0B-97E4-0D55A1221EA1}"/>
    <cellStyle name="Normal 6 2 2 5" xfId="1319" xr:uid="{B7F9A3C7-9006-4E20-BA67-CBEEC1127B26}"/>
    <cellStyle name="Normal 6 2 2 6" xfId="1320" xr:uid="{33124E99-5029-4B80-9955-1D81AD58BB6B}"/>
    <cellStyle name="Normal 6 2 2 7" xfId="1321" xr:uid="{6BA0D9FA-EAB6-478E-9EA3-18E2279CD4EC}"/>
    <cellStyle name="Normal 6 2 2 8" xfId="1322" xr:uid="{27BF47FC-0ABC-443F-86DA-E1EEFC75FA93}"/>
    <cellStyle name="Normal 6 2 3" xfId="1323" xr:uid="{9696DCDF-31E5-47CA-BB50-199E0FC91883}"/>
    <cellStyle name="Normal 6 2 3 2" xfId="1324" xr:uid="{D36C0FB5-1A49-413D-B09E-124226375C6C}"/>
    <cellStyle name="Normal 6 2 3 3" xfId="1325" xr:uid="{BCCB6754-3E1C-45E0-AC96-363FCF8D1539}"/>
    <cellStyle name="Normal 6 2 3 4" xfId="1326" xr:uid="{84ED57A3-68E1-4DE5-A65F-8046B92FDBE3}"/>
    <cellStyle name="Normal 6 2 4" xfId="1327" xr:uid="{10AFFBBD-467D-41C5-AF2B-55E7AD074C3C}"/>
    <cellStyle name="Normal 6 2 4 2" xfId="1328" xr:uid="{51721C6D-F1CD-40FC-87DF-52845BA7031A}"/>
    <cellStyle name="Normal 6 2 4 3" xfId="1329" xr:uid="{C672E6EA-FA7B-4B7A-BD5E-BC55E12C93A0}"/>
    <cellStyle name="Normal 6 2 4 4" xfId="1330" xr:uid="{DAC6F84A-1EA6-480E-B34B-3691EFCDCB44}"/>
    <cellStyle name="Normal 6 2 5" xfId="1331" xr:uid="{4BFB90BC-8CD3-404B-873C-6DEDA18966A1}"/>
    <cellStyle name="Normal 6 2 6" xfId="1332" xr:uid="{447FF66C-8ED0-4F45-9AB8-20476CD6976B}"/>
    <cellStyle name="Normal 6 2 7" xfId="1333" xr:uid="{159B36BE-D19D-4AEC-A41A-968473F09F86}"/>
    <cellStyle name="Normal 6 2 8" xfId="1334" xr:uid="{1A1BF9A9-370E-49F5-B53E-FD39E907CC5F}"/>
    <cellStyle name="Normal 6 2 9" xfId="1335" xr:uid="{875933A4-9DCB-4CA5-924B-EB14C00C036C}"/>
    <cellStyle name="Normal 6 2_Abt Associates Armenia budget - FINAL Abt" xfId="1336" xr:uid="{2D71EE1C-B65A-497C-ABD2-3CE279BE426E}"/>
    <cellStyle name="Normal 6 3" xfId="1337" xr:uid="{08F0F19E-CDB6-4707-9970-C8AFFB97E57C}"/>
    <cellStyle name="Normal 6 4" xfId="1338" xr:uid="{378D50DA-3CC3-4D9C-B413-92707E4934AB}"/>
    <cellStyle name="Normal 6 5" xfId="1339" xr:uid="{D9BF110A-C4E9-4915-8B25-DE7A2D355A7F}"/>
    <cellStyle name="Normal 6 5 2" xfId="1340" xr:uid="{9FDADCD3-2A97-4391-A8FD-D3C80C809615}"/>
    <cellStyle name="Normal 6 5 3" xfId="1341" xr:uid="{C13ED0D2-8FBD-4CE4-A1BE-7E501C666B1A}"/>
    <cellStyle name="Normal 6 5 4" xfId="1342" xr:uid="{332BECB0-F8F4-4EBA-BB15-D52F8D215510}"/>
    <cellStyle name="Normal 6 5 5" xfId="1343" xr:uid="{F48D1EC5-69C3-4005-8B1D-C6AEBB0FAA29}"/>
    <cellStyle name="Normal 6 6" xfId="1344" xr:uid="{8AF89E25-7C3A-495B-9E5C-3C944617AAD9}"/>
    <cellStyle name="Normal 6 6 2" xfId="1345" xr:uid="{060064B0-3709-4952-83AB-F420C8965D0A}"/>
    <cellStyle name="Normal 6 6 3" xfId="1346" xr:uid="{EEAE9B43-A11C-4690-A3C0-7C07A59CBE36}"/>
    <cellStyle name="Normal 6 6 4" xfId="1347" xr:uid="{FD764C14-B971-4F20-B195-35A6419EDAF6}"/>
    <cellStyle name="Normal 6 7" xfId="1348" xr:uid="{F42C80F6-A2AC-46BF-8673-D06BF9CD8CC3}"/>
    <cellStyle name="Normal 6 7 2" xfId="1349" xr:uid="{41291B74-AF82-4CEE-8F12-0EA622D701A6}"/>
    <cellStyle name="Normal 6 7 3" xfId="1350" xr:uid="{71362B7E-27EF-4882-8287-B56952550A44}"/>
    <cellStyle name="Normal 6 7 4" xfId="1351" xr:uid="{0BFE3B88-04E0-4BE8-94AB-C1A047D9171B}"/>
    <cellStyle name="Normal 6 8" xfId="1352" xr:uid="{21C1068F-181E-4E92-B223-D9EE967441C7}"/>
    <cellStyle name="Normal 6 8 2" xfId="1353" xr:uid="{D909077C-4315-41E9-A84F-5631D64D6D9A}"/>
    <cellStyle name="Normal 6 8 3" xfId="1354" xr:uid="{A85206C4-5D7A-4C9A-98F8-6D83A8CCF154}"/>
    <cellStyle name="Normal 6 8 4" xfId="1355" xr:uid="{224D9862-E170-4755-8EFF-5CC59549795E}"/>
    <cellStyle name="Normal 6 9" xfId="1356" xr:uid="{13DE8200-C6B7-4FA4-9C45-5878EC36C39E}"/>
    <cellStyle name="Normal 6_Abt Associates Armenia budget - FINAL Abt" xfId="1357" xr:uid="{AB3A5F4F-5D68-4EA2-B695-1CB8C1AF420B}"/>
    <cellStyle name="Normal 7" xfId="1358" xr:uid="{4A9ABEE5-9353-4E41-821E-77AB9E4AB591}"/>
    <cellStyle name="Normal 7 10" xfId="1359" xr:uid="{CF70AD59-B337-4708-B7FD-1676CFD18407}"/>
    <cellStyle name="Normal 7 2" xfId="1360" xr:uid="{A60D7C3E-D71E-4C94-82D8-6FD94AB70BD3}"/>
    <cellStyle name="Normal 7 2 2" xfId="1361" xr:uid="{D9AE42FD-150A-4754-B03F-926A2FC99CA4}"/>
    <cellStyle name="Normal 7 2 2 2" xfId="1362" xr:uid="{F3DD2006-0D27-4413-9DCE-2AEE69BDBF6B}"/>
    <cellStyle name="Normal 7 2 2 3" xfId="1363" xr:uid="{D0759A9B-4A61-4FC6-952B-AB960515761A}"/>
    <cellStyle name="Normal 7 2 2 4" xfId="1364" xr:uid="{C078B390-F676-4A9E-A77E-C0BC8BCF8DE4}"/>
    <cellStyle name="Normal 7 2 2 5" xfId="1365" xr:uid="{96B7E01C-4265-40BC-BB09-249D5542FEDF}"/>
    <cellStyle name="Normal 7 2 3" xfId="1366" xr:uid="{20DB00A8-3217-4B2C-8AE5-CA870F12CB48}"/>
    <cellStyle name="Normal 7 2 4" xfId="1367" xr:uid="{A1FDF1DA-1FD7-4F69-AFF6-A4A907F9A1E3}"/>
    <cellStyle name="Normal 7 2 5" xfId="1368" xr:uid="{C243D48A-3E0A-4B60-A8A4-B6795C6323B8}"/>
    <cellStyle name="Normal 7 2 6" xfId="1369" xr:uid="{35CF58B3-CA2F-4711-B5D5-E1D4D0190191}"/>
    <cellStyle name="Normal 7 2 7" xfId="1370" xr:uid="{A8DF0193-9EB2-4A29-9BDA-C4FB41EBAAB6}"/>
    <cellStyle name="Normal 7 2 8" xfId="1371" xr:uid="{90E81984-9564-45B6-96B7-AEC04E0534CE}"/>
    <cellStyle name="Normal 7 3" xfId="1372" xr:uid="{065FD711-2B03-42F2-932B-2F5FFEBFB23A}"/>
    <cellStyle name="Normal 7 3 2" xfId="1373" xr:uid="{406F8F5D-A3B3-4091-98B1-A55CEE5A3279}"/>
    <cellStyle name="Normal 7 3 3" xfId="1374" xr:uid="{A9B282B9-1412-4F0A-8F7D-DAC12246300D}"/>
    <cellStyle name="Normal 7 3 4" xfId="1375" xr:uid="{76193576-47B6-496D-90A7-2258D6BE5A79}"/>
    <cellStyle name="Normal 7 3 5" xfId="1376" xr:uid="{A93F2038-5D0B-4DBB-9BE3-D339EBD77FFA}"/>
    <cellStyle name="Normal 7 4" xfId="1377" xr:uid="{23AE33D0-71FE-4430-A3F9-B5802F7B0518}"/>
    <cellStyle name="Normal 7 5" xfId="1378" xr:uid="{E3B18433-ECAB-4BC5-9577-701BE6EB6058}"/>
    <cellStyle name="Normal 7 6" xfId="1379" xr:uid="{FF1AB73A-9DF9-4D67-9261-E0849B4FDEF8}"/>
    <cellStyle name="Normal 7 7" xfId="1380" xr:uid="{74638AAD-2788-427E-ADB6-BC08613981BD}"/>
    <cellStyle name="Normal 7 7 2" xfId="1381" xr:uid="{D98CE611-33A9-406C-B8A7-AFE622784330}"/>
    <cellStyle name="Normal 7 7 3" xfId="1382" xr:uid="{1E758068-732F-4AE3-8CFB-EEEE71CD1CAC}"/>
    <cellStyle name="Normal 7 7 4" xfId="1383" xr:uid="{F0ECB9E3-7878-4645-9FB5-C616A5B57F65}"/>
    <cellStyle name="Normal 7 8" xfId="1384" xr:uid="{52DDCCEF-4481-4A0A-8D29-CBDBD3CCFCD4}"/>
    <cellStyle name="Normal 7 9" xfId="1385" xr:uid="{3202904C-143C-45D5-B5B0-65D5B2CB6C9A}"/>
    <cellStyle name="Normal 7_Abt Associates Armenia budget - FINAL Abt" xfId="1386" xr:uid="{CA9C6190-30F2-435D-BBF1-DA1C88433EAB}"/>
    <cellStyle name="Normal 8" xfId="1387" xr:uid="{F480F4A2-3E06-4AF1-87DE-3707BFA90AB8}"/>
    <cellStyle name="Normal 8 2" xfId="1388" xr:uid="{18D6FDFC-7481-4CD8-A6A7-9F00AB14A88A}"/>
    <cellStyle name="Normal 8 2 2" xfId="1389" xr:uid="{F8D33923-9E92-48C3-9440-F5ECFE8C3C34}"/>
    <cellStyle name="Normal 8 2 3" xfId="1390" xr:uid="{4C17CB81-BC7E-47E5-A734-408327E2E01A}"/>
    <cellStyle name="Normal 8 2 4" xfId="1391" xr:uid="{03C2954B-1BEB-4C01-A8CF-E01EC30A90D4}"/>
    <cellStyle name="Normal 8 2 5" xfId="1392" xr:uid="{FE31CFDF-ECAC-47C3-8B0F-DF0AE49E2D17}"/>
    <cellStyle name="Normal 8 2 6" xfId="1393" xr:uid="{6E8D0725-5C37-4794-8D15-9825033196A1}"/>
    <cellStyle name="Normal 8 2 7" xfId="1394" xr:uid="{016857CA-DE2F-4596-A943-ED276EDF4FC3}"/>
    <cellStyle name="Normal 8 2 8" xfId="1395" xr:uid="{5D089E86-36E0-4F2B-8E0B-5E4CD42E4282}"/>
    <cellStyle name="Normal 8 3" xfId="1396" xr:uid="{1A33C836-32F0-4EBB-884F-BA1C1662FF27}"/>
    <cellStyle name="Normal 8 3 2" xfId="1397" xr:uid="{3FC9D34D-C45F-4A48-983F-999E30BCF4CF}"/>
    <cellStyle name="Normal 8 4" xfId="1398" xr:uid="{7279F051-326E-4EBD-92EF-B148A0E91DE1}"/>
    <cellStyle name="Normal 8 5" xfId="1399" xr:uid="{26831931-C852-411A-B261-76581369F080}"/>
    <cellStyle name="Normal 8 6" xfId="1400" xr:uid="{5649FD37-62CE-4D09-B6F0-F9D668C6D607}"/>
    <cellStyle name="Normal 8 6 2" xfId="1401" xr:uid="{FFE4ABA1-B501-40BF-8EFD-67A9CF76F3B6}"/>
    <cellStyle name="Normal 8 6 3" xfId="1402" xr:uid="{E209C2B5-2BC6-45B7-B2AF-BD02B3C34F71}"/>
    <cellStyle name="Normal 8 6 4" xfId="1403" xr:uid="{FE8E969F-3987-421A-81F5-340F486D8989}"/>
    <cellStyle name="Normal 8 7" xfId="1404" xr:uid="{229C7F54-1506-4449-9570-B0EE449BBF68}"/>
    <cellStyle name="Normal 8 8" xfId="1405" xr:uid="{B0B0926A-C5C6-4484-9C5D-08D0A5654531}"/>
    <cellStyle name="Normal 8 9" xfId="1406" xr:uid="{919A732D-7EEC-41F8-9BCE-2ECC26D5DE78}"/>
    <cellStyle name="Normal 8_Abt Associates Armenia budget - FINAL Abt" xfId="1407" xr:uid="{A2F27FBC-FF06-4E64-8466-CF70ECCBF039}"/>
    <cellStyle name="Normal 9" xfId="1408" xr:uid="{FEFD3F0C-831C-4FBB-B38B-2AD243491E70}"/>
    <cellStyle name="Normal 9 2" xfId="1409" xr:uid="{59847B0D-9C40-49B9-9C26-A53DAD6A3CE3}"/>
    <cellStyle name="Normal 9 2 2" xfId="1410" xr:uid="{DDCBB4AD-C2A2-49D8-AA2A-F81A36CF9758}"/>
    <cellStyle name="Normal 9 3" xfId="1411" xr:uid="{862E19EE-8F77-4118-9FC3-ED2C687487AC}"/>
    <cellStyle name="Normal 9 4" xfId="1412" xr:uid="{55CD29E7-21A3-4F56-808D-893EF000D303}"/>
    <cellStyle name="Normal 9 5" xfId="1413" xr:uid="{EF532F52-DE3D-4FB8-A323-08F36723F813}"/>
    <cellStyle name="Normal 9_ARD Nicaragua Municipal Governance Program_July1" xfId="1414" xr:uid="{65F6349F-61E7-4666-9557-D605A2A7F428}"/>
    <cellStyle name="Normale_Bagomoyo Budget - Irish Aid" xfId="1415" xr:uid="{3545C35B-68C4-44A0-9AD1-4CF5F1C432E8}"/>
    <cellStyle name="Nota" xfId="1416" xr:uid="{C013D9D2-7546-4238-8E34-20B91BC18695}"/>
    <cellStyle name="Nota 2" xfId="1417" xr:uid="{870C0674-B3BE-4018-A704-F70E5A9BD501}"/>
    <cellStyle name="Notas" xfId="1418" xr:uid="{238509CB-DBAE-4FDE-8C17-731EA474FDD3}"/>
    <cellStyle name="Notas 2" xfId="1419" xr:uid="{BD62A9E9-F8E8-4011-B4F9-A7AAF297F9EC}"/>
    <cellStyle name="Notas 3" xfId="1420" xr:uid="{E08654E5-5DF5-4C0D-B64F-156BB0D8F974}"/>
    <cellStyle name="Notas 4" xfId="1421" xr:uid="{3EC3BAA5-B32D-48C8-A0AB-506677B0D865}"/>
    <cellStyle name="Note 2" xfId="1422" xr:uid="{A2AA16D4-215C-4AFE-A458-BAF8F5F49158}"/>
    <cellStyle name="Note 2 10" xfId="1423" xr:uid="{D92F9DE8-802C-4D15-9877-3EC72FEF4A66}"/>
    <cellStyle name="Note 2 2" xfId="1424" xr:uid="{6C0967F3-5C06-4E00-BA0E-D06FD1658321}"/>
    <cellStyle name="Note 2 2 2" xfId="1425" xr:uid="{2A275CE2-0986-4985-9E71-B30A4D18EBAA}"/>
    <cellStyle name="Note 2 2 3" xfId="1426" xr:uid="{147FD2A1-91F4-49B3-826B-9BDEA78492B1}"/>
    <cellStyle name="Note 2 2 3 2" xfId="1427" xr:uid="{C6F9609D-9398-4273-989A-BA510B7BD923}"/>
    <cellStyle name="Note 2 2 3 3" xfId="1428" xr:uid="{F248A071-AEB0-40FD-8E96-BDA9FA8AE2FE}"/>
    <cellStyle name="Note 2 2 3 4" xfId="1429" xr:uid="{115230BE-9664-4661-AEE9-E25D2032FE08}"/>
    <cellStyle name="Note 2 3" xfId="1430" xr:uid="{F7C5C2CD-6FEA-41F8-A9E0-CC40EF5511A1}"/>
    <cellStyle name="Note 2 4" xfId="1431" xr:uid="{06BC42DD-4277-45E1-A794-6B15177397D0}"/>
    <cellStyle name="Note 2 5" xfId="1432" xr:uid="{4098C173-3FEE-4C26-8874-52CD1C375C4A}"/>
    <cellStyle name="Note 2 5 2" xfId="1433" xr:uid="{2165C11D-6819-4D1C-86DA-1FF10F8CB55C}"/>
    <cellStyle name="Note 2 5 3" xfId="1434" xr:uid="{FB520C13-78F7-4908-BB0D-F5F8FD72EB57}"/>
    <cellStyle name="Note 2 5 4" xfId="1435" xr:uid="{C949AC30-5062-4A36-ABD5-5CF102211B9E}"/>
    <cellStyle name="Note 2 6" xfId="1436" xr:uid="{C2959BBC-33CC-4E17-96F8-961891A816A4}"/>
    <cellStyle name="Note 2 6 2" xfId="1437" xr:uid="{1A91EF18-F946-4118-B6E1-167C4A441D3A}"/>
    <cellStyle name="Note 2 6 3" xfId="1438" xr:uid="{5C04D922-99C9-4E8E-8EB5-2BFCC6525F0E}"/>
    <cellStyle name="Note 2 6 4" xfId="1439" xr:uid="{C55ACE8D-681B-4F00-80C4-0F2C9C5821FA}"/>
    <cellStyle name="Note 2 7" xfId="1440" xr:uid="{24379F8E-8556-4021-93FF-8354DBFD6124}"/>
    <cellStyle name="Note 2 8" xfId="1441" xr:uid="{636B713B-65DB-48CD-BE08-E091D95B42AB}"/>
    <cellStyle name="Note 2 9" xfId="1442" xr:uid="{2E8F1490-C6A6-4BDB-ACF1-CC20C604B342}"/>
    <cellStyle name="Note 3" xfId="1443" xr:uid="{D5A26BD6-E9D7-44CF-BB02-923F85F449DC}"/>
    <cellStyle name="Note 3 2" xfId="1444" xr:uid="{B7A1908B-2002-43D4-8981-39F410BE74E0}"/>
    <cellStyle name="Note 3 3" xfId="1445" xr:uid="{DE906791-A9AC-4AE7-BB5F-DA33A4F5B8D2}"/>
    <cellStyle name="Note 4" xfId="1446" xr:uid="{AFE74386-3D6B-43AC-AFC4-2360F36DC6B2}"/>
    <cellStyle name="Note 4 2" xfId="1447" xr:uid="{FF887F4E-944F-475F-A64D-44CBC3124030}"/>
    <cellStyle name="Note 4 2 2" xfId="1448" xr:uid="{0664F35E-7491-42C7-9A86-DEA5401CB68B}"/>
    <cellStyle name="Note 4 2 3" xfId="1449" xr:uid="{41A1DBE5-6CA1-4721-B31A-7CF6427C275A}"/>
    <cellStyle name="Note 4 2 4" xfId="1450" xr:uid="{184D32C0-4403-493D-A69F-C75E18CC26D2}"/>
    <cellStyle name="Note 4 3" xfId="1451" xr:uid="{1D137865-84A4-4A90-86C7-D5819C77D5C2}"/>
    <cellStyle name="Note 4 4" xfId="1452" xr:uid="{4B448EEE-1A68-4535-8030-12122B780CBD}"/>
    <cellStyle name="Note 4 5" xfId="1453" xr:uid="{B6B4C20B-1D9F-444B-B9F9-97ED6EA11D7B}"/>
    <cellStyle name="Note 5" xfId="1454" xr:uid="{FE3EFA71-38A0-4D78-9D2B-F177F52FAA75}"/>
    <cellStyle name="Note 5 2" xfId="1455" xr:uid="{FD92BCCB-1AEB-44CF-835A-61AE270C4614}"/>
    <cellStyle name="Note 5 3" xfId="1456" xr:uid="{C1C96762-18E3-4D8D-9635-50F9D03A3F3B}"/>
    <cellStyle name="Note 5 4" xfId="1457" xr:uid="{29E66D5A-2153-4D7C-8033-B7F96DBE0373}"/>
    <cellStyle name="Note 6" xfId="1458" xr:uid="{8C44291B-D522-43AF-9493-EA02856FE5DD}"/>
    <cellStyle name="Note 6 2" xfId="1459" xr:uid="{3C520BCF-FD19-44FC-98D2-ABDF574E5E23}"/>
    <cellStyle name="Note 6 3" xfId="1460" xr:uid="{09653C0E-3EEF-4E84-A86D-D0C2F701EBB5}"/>
    <cellStyle name="Note 6 4" xfId="1461" xr:uid="{BBE7D586-1F70-4CDC-9DE9-25694A4F5126}"/>
    <cellStyle name="Option" xfId="1462" xr:uid="{8CA0DF62-9F60-442E-9048-0FD7B7CB3C45}"/>
    <cellStyle name="Option 2" xfId="1463" xr:uid="{6E075F25-2838-4DF3-9284-C2F5A7F14AB6}"/>
    <cellStyle name="Output 2" xfId="1464" xr:uid="{B1C3BA10-D6F8-4C38-AB4D-DCA8839D87D6}"/>
    <cellStyle name="Output 2 2" xfId="1465" xr:uid="{222FCA62-6172-4F91-BB25-639210B965E7}"/>
    <cellStyle name="Percent" xfId="1466" builtinId="5"/>
    <cellStyle name="Percent 10" xfId="1467" xr:uid="{06A2AEBF-ACCC-4C2C-97A4-27AC68C9A530}"/>
    <cellStyle name="Percent 11" xfId="1468" xr:uid="{CE982B35-0743-4948-9EED-B84F550A3484}"/>
    <cellStyle name="Percent 12" xfId="1469" xr:uid="{FDA287EE-D526-4E79-A486-E0150B2B4F9E}"/>
    <cellStyle name="Percent 13" xfId="1470" xr:uid="{7CA6B3D4-5064-4BB5-9596-30B47D4268E9}"/>
    <cellStyle name="Percent 13 2" xfId="1471" xr:uid="{26115770-3A33-4511-AFE2-65DC64FA5005}"/>
    <cellStyle name="Percent 13 3" xfId="1472" xr:uid="{E11BC7EC-9A90-48BC-BFA4-140A3C210094}"/>
    <cellStyle name="Percent 13 4" xfId="1473" xr:uid="{BD0C129B-16AB-4E05-A58D-3EF9C6672926}"/>
    <cellStyle name="Percent 14" xfId="1474" xr:uid="{6812086A-2496-488D-8CA1-F934873A4BE7}"/>
    <cellStyle name="Percent 14 2" xfId="1475" xr:uid="{12120512-062B-4D07-885E-800211A1D106}"/>
    <cellStyle name="Percent 14 3" xfId="1476" xr:uid="{0826112C-9C0C-4C89-A5CA-A3D7CF6C84E6}"/>
    <cellStyle name="Percent 14 4" xfId="1477" xr:uid="{8DE11B3E-AEF3-4EAD-9DE0-0B81C1B09112}"/>
    <cellStyle name="Percent 15" xfId="1478" xr:uid="{2C54C19B-C3CC-49F2-9D88-937260231C9F}"/>
    <cellStyle name="Percent 16" xfId="1479" xr:uid="{18CA8213-CFC8-423E-8A35-CD563E87E903}"/>
    <cellStyle name="Percent 17" xfId="1480" xr:uid="{27D50A5E-5BA1-46BF-80D4-85EC83DA4A83}"/>
    <cellStyle name="Percent 2" xfId="1481" xr:uid="{FA581398-0F6B-41C0-8217-A6EC6FB7F02D}"/>
    <cellStyle name="Percent 2 10" xfId="1482" xr:uid="{D56987E3-906E-4403-A999-C1A43149B96D}"/>
    <cellStyle name="Percent 2 2" xfId="1483" xr:uid="{B693ECEA-C632-4DE0-90C3-8DF021444308}"/>
    <cellStyle name="Percent 2 2 2" xfId="1484" xr:uid="{47677848-0AB3-45E1-8903-71F7DFB0F09E}"/>
    <cellStyle name="Percent 2 2 3" xfId="1485" xr:uid="{C459AF7F-7B43-488B-A1A9-1BEAD369DEC6}"/>
    <cellStyle name="Percent 2 2 4" xfId="1486" xr:uid="{A2572B2B-CD17-4721-BFA6-F02AB9C4E588}"/>
    <cellStyle name="Percent 2 2 5" xfId="1487" xr:uid="{D7CDE0F7-D6E0-4531-AE86-368610963719}"/>
    <cellStyle name="Percent 2 3" xfId="1488" xr:uid="{EF61A833-03B4-4176-B3C6-CF96BCFE4278}"/>
    <cellStyle name="Percent 2 3 2" xfId="1489" xr:uid="{7FDA0141-0107-4C55-9063-A5C811350813}"/>
    <cellStyle name="Percent 2 4" xfId="1490" xr:uid="{285476E1-659D-4D5D-9E96-4239F14684F5}"/>
    <cellStyle name="Percent 2 4 2" xfId="1491" xr:uid="{5ADC5439-31BB-4BA7-A6E8-44B904B11BE2}"/>
    <cellStyle name="Percent 2 5" xfId="1492" xr:uid="{F4B8EF20-4B9A-49A1-862F-90FCCDC6CB07}"/>
    <cellStyle name="Percent 2 6" xfId="1493" xr:uid="{A209E991-1717-4133-9750-E426FBA53269}"/>
    <cellStyle name="Percent 2 7" xfId="1494" xr:uid="{89427870-B07E-4915-8359-5EF3DF256E64}"/>
    <cellStyle name="Percent 2 8" xfId="1495" xr:uid="{3891520D-7205-4511-96CE-0894E724CA66}"/>
    <cellStyle name="Percent 2 8 2" xfId="1496" xr:uid="{F1ABF8C9-10DB-4C7B-AE73-E97863F81296}"/>
    <cellStyle name="Percent 2 8 2 2" xfId="1497" xr:uid="{1AAE07D6-1D14-4017-BB52-6F08753D262B}"/>
    <cellStyle name="Percent 2 8 2 3" xfId="1498" xr:uid="{4BD6DF35-FEA6-4CAE-A1C5-3321B9E0A5A5}"/>
    <cellStyle name="Percent 2 8 2 4" xfId="1499" xr:uid="{C08EA91A-2FD3-4072-9441-81926847A572}"/>
    <cellStyle name="Percent 2 9" xfId="1500" xr:uid="{55581406-5B47-4B4E-853D-71028649F634}"/>
    <cellStyle name="Percent 2 9 2" xfId="1501" xr:uid="{BB56453E-14E8-4971-81C1-22631800B35F}"/>
    <cellStyle name="Percent 2 9 3" xfId="1502" xr:uid="{BE49EAFD-6638-4B1E-A088-A3A6098BF17C}"/>
    <cellStyle name="Percent 2 9 4" xfId="1503" xr:uid="{E5F75531-F193-4167-9F85-2D782BB12209}"/>
    <cellStyle name="Percent 3" xfId="1504" xr:uid="{059C3128-0C62-4507-94D4-1E9709AEB232}"/>
    <cellStyle name="Percent 3 2" xfId="1505" xr:uid="{2919C266-07F4-485E-BAD9-5560BC3F6871}"/>
    <cellStyle name="Percent 3 2 2" xfId="1506" xr:uid="{38D31EE9-6525-44EB-8983-641303213B4F}"/>
    <cellStyle name="Percent 3 3" xfId="1507" xr:uid="{57B3AD16-6283-43B1-A5F8-45C26D275069}"/>
    <cellStyle name="Percent 3 4" xfId="1508" xr:uid="{D722A77B-6D5F-4A85-BEC5-603A08F2804A}"/>
    <cellStyle name="Percent 4" xfId="1509" xr:uid="{6B2709E8-2FEB-425D-8F79-C8B2A1B608E2}"/>
    <cellStyle name="Percent 4 2" xfId="1510" xr:uid="{89D1650A-764C-4F22-8EB3-6FD8B3B64325}"/>
    <cellStyle name="Percent 4 2 2" xfId="1511" xr:uid="{720FE133-E6FF-4C54-B68A-D1256BF9F153}"/>
    <cellStyle name="Percent 4 2 3" xfId="1512" xr:uid="{3A0F96DE-5147-4E5F-9E79-331E32438A8A}"/>
    <cellStyle name="Percent 4 2 4" xfId="1513" xr:uid="{076BF6C6-81AD-4644-8F8C-F16012E90628}"/>
    <cellStyle name="Percent 4 3" xfId="1514" xr:uid="{85D3472A-B64C-46F0-827F-0634483C70B5}"/>
    <cellStyle name="Percent 4 4" xfId="1515" xr:uid="{7877850E-5B63-4D6C-A061-092D79DCE3E1}"/>
    <cellStyle name="Percent 4 5" xfId="1516" xr:uid="{E99C1955-B5D7-49DC-86FE-4BDC02D66EBC}"/>
    <cellStyle name="Percent 4 6" xfId="1517" xr:uid="{B86ADDBC-8F9A-4DE1-A5B0-451FA75F8DD8}"/>
    <cellStyle name="Percent 4 7" xfId="1518" xr:uid="{011FAE0F-FEA3-41CC-BAC0-955912010A53}"/>
    <cellStyle name="Percent 4 8" xfId="1519" xr:uid="{171754B3-32C9-457F-92EC-76492C3126D9}"/>
    <cellStyle name="Percent 4 9" xfId="1520" xr:uid="{978A5F8C-98D3-4F69-BEC9-9231728B5753}"/>
    <cellStyle name="Percent 5" xfId="1521" xr:uid="{D0BE8862-20EC-4DA8-A2D4-46C2A423EF3F}"/>
    <cellStyle name="Percent 5 2" xfId="1522" xr:uid="{F992AB08-EC20-4C3B-9D29-68DF5C8A148C}"/>
    <cellStyle name="Percent 5 2 2" xfId="1523" xr:uid="{A1E5B2A8-60DE-4C3F-B8F2-B3CF457517C2}"/>
    <cellStyle name="Percent 5 3" xfId="1524" xr:uid="{9DD1F2B1-48F1-46AA-82F0-6A29E9518553}"/>
    <cellStyle name="Percent 5 3 2" xfId="1525" xr:uid="{79A02BB4-57B2-4C17-974B-19F51B57F381}"/>
    <cellStyle name="Percent 5 3 3" xfId="1526" xr:uid="{5971C729-420B-4C4A-8067-3C1A43CF2C52}"/>
    <cellStyle name="Percent 5 3 4" xfId="1527" xr:uid="{13421A78-CC3E-4E10-B400-45F80B249901}"/>
    <cellStyle name="Percent 5 4" xfId="1528" xr:uid="{D1E7113D-E323-41A1-8DA6-B0FCA8D83D45}"/>
    <cellStyle name="Percent 5 4 2" xfId="1529" xr:uid="{5DF57384-F1BD-4937-A200-CA5D9E6433F4}"/>
    <cellStyle name="Percent 5 4 3" xfId="1530" xr:uid="{AEA12485-158D-4CF8-8B94-1D80D8006005}"/>
    <cellStyle name="Percent 5 4 4" xfId="1531" xr:uid="{B753B5EE-BEA7-45FA-A679-FE79606B8775}"/>
    <cellStyle name="Percent 5 5" xfId="1532" xr:uid="{58A8AE55-4E9D-4DA7-8267-FD71FECE87C9}"/>
    <cellStyle name="Percent 5 6" xfId="1533" xr:uid="{17BADA76-7CD1-49B3-8CF4-D8B71B16C9D6}"/>
    <cellStyle name="Percent 5 7" xfId="1534" xr:uid="{63539B17-C406-4525-9AB9-26E6439C29E2}"/>
    <cellStyle name="Percent 5 8" xfId="1535" xr:uid="{42CFC97C-C5FD-4850-B176-24EDC90A6FB6}"/>
    <cellStyle name="Percent 6" xfId="1536" xr:uid="{FBD8CD30-99CF-4197-BAB1-57C634A60DEE}"/>
    <cellStyle name="Percent 6 2" xfId="1537" xr:uid="{0189AFF5-3963-479E-BE88-424D4CF7BBD2}"/>
    <cellStyle name="Percent 6 2 2" xfId="1538" xr:uid="{EA2497E9-7ECB-4E19-A8DD-B97320C6510A}"/>
    <cellStyle name="Percent 6 2 3" xfId="1539" xr:uid="{BFD45996-02B2-47A1-A78C-F5210DB8A022}"/>
    <cellStyle name="Percent 6 2 4" xfId="1540" xr:uid="{CB09978E-502C-4CB4-ACE9-93014E252E2C}"/>
    <cellStyle name="Percent 6 3" xfId="1541" xr:uid="{09291EDF-F468-44B2-801B-47818FA19883}"/>
    <cellStyle name="Percent 6 3 2" xfId="1542" xr:uid="{D9790D45-55E1-4B25-85E4-0E609E379FEF}"/>
    <cellStyle name="Percent 6 3 3" xfId="1543" xr:uid="{24668E23-6CE0-4EE2-A9D7-3768459354C9}"/>
    <cellStyle name="Percent 6 3 4" xfId="1544" xr:uid="{984AFF5D-6247-4E83-975B-5040A4F3C02A}"/>
    <cellStyle name="Percent 6 4" xfId="1545" xr:uid="{B96BAA16-D14B-4935-ABC8-8B304DBF6A83}"/>
    <cellStyle name="Percent 6 5" xfId="1546" xr:uid="{857CFE90-482C-4085-A80A-2E3F94104474}"/>
    <cellStyle name="Percent 6 6" xfId="1547" xr:uid="{726DC901-BC99-40B5-86A0-26EE2684A009}"/>
    <cellStyle name="Percent 6 7" xfId="1548" xr:uid="{02007694-E94F-4EE9-A1A8-A0B1D58B8B50}"/>
    <cellStyle name="Percent 7" xfId="1549" xr:uid="{5262E747-62FF-4144-9FB0-E96256B898BF}"/>
    <cellStyle name="Percent 7 2" xfId="1550" xr:uid="{EAA87526-D12F-40A7-A9B7-F01535CB9FE7}"/>
    <cellStyle name="Percent 7 2 2" xfId="1551" xr:uid="{18395892-9398-4CE0-A8E7-79A0FF27C5FD}"/>
    <cellStyle name="Percent 7 2 3" xfId="1552" xr:uid="{09F54767-12C0-4F27-ABDA-C6F606A02B2F}"/>
    <cellStyle name="Percent 7 2 4" xfId="1553" xr:uid="{AD5CD719-633D-43F7-B6C7-0D2BDCFDDCA8}"/>
    <cellStyle name="Percent 7 3" xfId="1554" xr:uid="{67C0B567-DA39-47CD-A2CD-43BF86B941B8}"/>
    <cellStyle name="Percent 7 4" xfId="1555" xr:uid="{CC2A25FE-7061-499A-B1EC-03085267D62B}"/>
    <cellStyle name="Percent 7 5" xfId="1556" xr:uid="{C88C8D20-5714-406B-9C2D-D7D52B3FF208}"/>
    <cellStyle name="Percent 8" xfId="1557" xr:uid="{8D16718F-3F7D-4679-B839-C4885C5B755F}"/>
    <cellStyle name="Percent 8 2" xfId="1558" xr:uid="{BA2333CC-AA7F-45B3-9B68-287F07F24122}"/>
    <cellStyle name="Percent 8 2 2" xfId="1559" xr:uid="{69508DCF-2F54-4918-BB44-91E1F395C83D}"/>
    <cellStyle name="Percent 8 2 2 2" xfId="1560" xr:uid="{9B2376F1-40AB-47FA-838B-4CC782DE7D97}"/>
    <cellStyle name="Percent 8 2 2 3" xfId="1561" xr:uid="{C5A94DC1-AB28-4352-BA69-DB869BE9BD49}"/>
    <cellStyle name="Percent 8 2 2 4" xfId="1562" xr:uid="{C8DC7BB7-912B-4342-A16B-26FB4F760925}"/>
    <cellStyle name="Percent 8 2 3" xfId="1563" xr:uid="{96D90DA7-23A3-483B-9FE0-C0049A3A87D1}"/>
    <cellStyle name="Percent 8 2 4" xfId="1564" xr:uid="{54595033-8E96-465C-938C-376DF2F305B2}"/>
    <cellStyle name="Percent 8 2 5" xfId="1565" xr:uid="{A9D9A4B1-E94D-40A9-8B0D-5C670DAF23C7}"/>
    <cellStyle name="Percent 8 3" xfId="1566" xr:uid="{F78E7AC9-547C-4989-92AB-DB505C276210}"/>
    <cellStyle name="Percent 8 3 2" xfId="1567" xr:uid="{4DEAEB61-D1A3-4383-BC68-55444E4E6D4A}"/>
    <cellStyle name="Percent 8 3 3" xfId="1568" xr:uid="{43150E9F-F9C1-499D-A055-0C3E50CE28E4}"/>
    <cellStyle name="Percent 8 3 4" xfId="1569" xr:uid="{660BEC3D-4C41-4BDF-B44F-CE3EA96B2081}"/>
    <cellStyle name="Percent 8 4" xfId="1570" xr:uid="{B0818F62-FC17-4692-A43E-4DEBBDFF0396}"/>
    <cellStyle name="Percent 8 5" xfId="1571" xr:uid="{8D4315DC-512C-40BF-89A5-084351FDD52D}"/>
    <cellStyle name="Percent 8 6" xfId="1572" xr:uid="{F727103A-37E5-4097-A332-E705F4513E2B}"/>
    <cellStyle name="Percent 9" xfId="1573" xr:uid="{AC0699F1-568B-4821-AC9D-15D507F22396}"/>
    <cellStyle name="Percent 9 2" xfId="1574" xr:uid="{22373458-1202-4916-A28C-2AA40B1723F4}"/>
    <cellStyle name="Porcentual 2" xfId="1575" xr:uid="{86341F93-5260-404F-B6C7-8521A8633C85}"/>
    <cellStyle name="Porcentual 2 2" xfId="1576" xr:uid="{328A7800-7891-4B30-8F40-26A1666D1E5B}"/>
    <cellStyle name="Porcentual 2 3" xfId="1577" xr:uid="{2C3EE337-703E-4B9C-BB85-05BCB069AD8D}"/>
    <cellStyle name="Porcentual 2 4" xfId="1578" xr:uid="{412CB085-EB1C-4581-9F80-F68597CEA97F}"/>
    <cellStyle name="Porcentual 3" xfId="1579" xr:uid="{76352DB2-3B47-43EF-AE41-E2BFD2B996FC}"/>
    <cellStyle name="Porcentual 3 2" xfId="1580" xr:uid="{42E0D122-19D5-4A5C-9343-2F6B20D5C346}"/>
    <cellStyle name="Porcentual 3 3" xfId="1581" xr:uid="{4F6E98F0-4296-42EA-ADB5-D97D86FE8CE6}"/>
    <cellStyle name="Porcentual 3 4" xfId="1582" xr:uid="{5AC2DCD3-E0FB-4C7A-A59F-3C5F80928077}"/>
    <cellStyle name="Porcentual 4" xfId="1583" xr:uid="{16C3EED7-44DA-4E18-B7AD-B775C445C106}"/>
    <cellStyle name="Porcentual 4 2" xfId="1584" xr:uid="{18503501-58F7-4300-8308-892F6DCBBD2C}"/>
    <cellStyle name="Porcentual 4 3" xfId="1585" xr:uid="{AD930C30-9249-4A75-8436-631F08ACCF80}"/>
    <cellStyle name="Porcentual 4 4" xfId="1586" xr:uid="{0CB2826A-BE56-47E9-B73A-5010944252D4}"/>
    <cellStyle name="Porcentual 5" xfId="1587" xr:uid="{25B12FEA-E638-43CB-B967-EE8162C265EE}"/>
    <cellStyle name="Porcentual 5 2" xfId="1588" xr:uid="{6FB146F3-886F-4BAD-BC94-BD7CEE164A84}"/>
    <cellStyle name="Porcentual 5 3" xfId="1589" xr:uid="{A271C315-6DEB-488D-8E86-FC9C6E910562}"/>
    <cellStyle name="Porcentual 5 4" xfId="1590" xr:uid="{4364AD99-5ABD-4956-B6AB-67F35791ABC2}"/>
    <cellStyle name="Pourcentage 2" xfId="1591" xr:uid="{205A6E3E-9EFA-421F-B3FF-19DF5E58516C}"/>
    <cellStyle name="PSChar" xfId="1592" xr:uid="{EB5BD7ED-7EC5-4B0D-AC4A-D4CE7FA61ACD}"/>
    <cellStyle name="PSDec" xfId="1593" xr:uid="{212ECC85-F235-4492-8E04-7CAD3CAB07E6}"/>
    <cellStyle name="PSHeading" xfId="1594" xr:uid="{DB92CAC5-06B1-4E2C-B1AC-902A433122FA}"/>
    <cellStyle name="PSHeading 2" xfId="1595" xr:uid="{DC4BEE95-9C12-402C-B3D1-D1514E8E6DB4}"/>
    <cellStyle name="R00A" xfId="1596" xr:uid="{4E59D67D-562D-4275-9B60-1A71DFBB08D4}"/>
    <cellStyle name="R00A 2" xfId="1597" xr:uid="{7171EA7B-5705-4122-AAEC-AE77C46F317E}"/>
    <cellStyle name="R00B" xfId="1598" xr:uid="{25D64D3D-5E08-44EC-9D88-2A9F52E8BAA6}"/>
    <cellStyle name="R00L" xfId="1599" xr:uid="{57FCE212-B258-4D7E-A24B-822BEF5D72AF}"/>
    <cellStyle name="R00L 2" xfId="1600" xr:uid="{FF94A50B-B8BE-4335-A2BA-30B4B1AB577E}"/>
    <cellStyle name="R01A" xfId="1601" xr:uid="{952A8A8E-10EA-4ED8-A3CC-9540A5E80BFB}"/>
    <cellStyle name="R01A 10" xfId="1602" xr:uid="{1E928564-1576-4913-83CB-E4237B9AD846}"/>
    <cellStyle name="R01A 2" xfId="1603" xr:uid="{6B04420E-8556-42C3-ADB3-B328CDD73A01}"/>
    <cellStyle name="R01A 2 2" xfId="1604" xr:uid="{9C450274-CDD4-4A00-B94A-83681E8BB3BD}"/>
    <cellStyle name="R01A 2 3" xfId="1605" xr:uid="{5DBD2ECB-0DE5-49C7-826A-9C1E5919E58A}"/>
    <cellStyle name="R01A 2 4" xfId="1606" xr:uid="{E28A4722-E6F4-42A5-B4CE-FD80D85E6D76}"/>
    <cellStyle name="R01A 2 5" xfId="1607" xr:uid="{E4C63B0F-3086-46F3-A6BA-C23B183F72D6}"/>
    <cellStyle name="R01A 2 6" xfId="1608" xr:uid="{832B19D1-60C6-4E39-B48B-7807631846DC}"/>
    <cellStyle name="R01A 2 7" xfId="1609" xr:uid="{66EC53AB-F471-4515-A56A-600A3CBCDE93}"/>
    <cellStyle name="R01A 2 8" xfId="1610" xr:uid="{8418C2F9-B40F-4460-8BE2-6B48A613911A}"/>
    <cellStyle name="R01A 2 9" xfId="1611" xr:uid="{F615EDA9-DF4D-43AE-AA6B-9093627662C2}"/>
    <cellStyle name="R01A 3" xfId="1612" xr:uid="{24EB7694-9174-4285-AB16-8BF699F76756}"/>
    <cellStyle name="R01A 4" xfId="1613" xr:uid="{4B9B748B-7562-4930-AF3D-18B1548B99AF}"/>
    <cellStyle name="R01A 5" xfId="1614" xr:uid="{F073125B-4350-4820-B784-9829769DFA2A}"/>
    <cellStyle name="R01A 6" xfId="1615" xr:uid="{12169587-E824-4F09-AF2F-18D39C7A8824}"/>
    <cellStyle name="R01A 7" xfId="1616" xr:uid="{24FF6A69-D672-40CB-96B4-C9BC0C3FD1ED}"/>
    <cellStyle name="R01A 8" xfId="1617" xr:uid="{FC3405D5-C8B2-4A7F-B40C-A92B6AC89D47}"/>
    <cellStyle name="R01A 9" xfId="1618" xr:uid="{8AA21FAB-5A08-4E47-A4B7-42D5F1914D43}"/>
    <cellStyle name="R01A_Sheet7" xfId="1619" xr:uid="{81434CEB-53EB-4F67-8682-E1CB7C4ACFF8}"/>
    <cellStyle name="R01B" xfId="1620" xr:uid="{11A86955-A7D6-4BEC-AF64-3A26DECC4FC1}"/>
    <cellStyle name="R01B 2" xfId="1621" xr:uid="{3E147419-B016-4233-B292-AB07A80A3867}"/>
    <cellStyle name="R01H" xfId="1622" xr:uid="{53DF4ABD-0BC6-4161-9FCE-A4651BFC4C5D}"/>
    <cellStyle name="R01L" xfId="1623" xr:uid="{D93D5799-F252-4813-BCC2-C6E4D0206E03}"/>
    <cellStyle name="R02A" xfId="1624" xr:uid="{8B2AC3F1-FD87-4E08-AC0C-F138074941CF}"/>
    <cellStyle name="R02A 10" xfId="1625" xr:uid="{DBDBE907-31C8-4B6B-BA8E-8CC4051F5D65}"/>
    <cellStyle name="R02A 2" xfId="1626" xr:uid="{E012BD41-BD01-4096-87BA-9AF78E919C80}"/>
    <cellStyle name="R02A 2 2" xfId="1627" xr:uid="{01D06E41-1099-4499-952C-F262DEE6C53A}"/>
    <cellStyle name="R02A 2 3" xfId="1628" xr:uid="{72C603A8-5C0A-4ECC-9FB7-10D5E622C18C}"/>
    <cellStyle name="R02A 2 4" xfId="1629" xr:uid="{83847E73-5F28-430D-B9B6-B8856630A2DE}"/>
    <cellStyle name="R02A 2 5" xfId="1630" xr:uid="{9B307E66-2DBE-4DA5-88BE-D75436C0A980}"/>
    <cellStyle name="R02A 2 6" xfId="1631" xr:uid="{7C26CF34-4AD5-4E84-8698-BD378CA04D22}"/>
    <cellStyle name="R02A 2 7" xfId="1632" xr:uid="{23E9B51D-5BFF-4764-8520-D22A6CB91759}"/>
    <cellStyle name="R02A 2 8" xfId="1633" xr:uid="{D24273BC-2F23-402C-B197-F672D9D13BE5}"/>
    <cellStyle name="R02A 2 9" xfId="1634" xr:uid="{1B75B8E8-2A61-4806-A654-3FB92869BBA7}"/>
    <cellStyle name="R02A 3" xfId="1635" xr:uid="{94B5D063-E6F3-42CE-B3EA-4584C5103564}"/>
    <cellStyle name="R02A 4" xfId="1636" xr:uid="{64907DC7-0AF3-4BDC-83ED-DAE4919FE7F4}"/>
    <cellStyle name="R02A 5" xfId="1637" xr:uid="{08D98569-E1BF-47C2-A050-40C5E4728CA3}"/>
    <cellStyle name="R02A 6" xfId="1638" xr:uid="{3FF71533-5EAB-4B84-8072-FF35918A33C3}"/>
    <cellStyle name="R02A 7" xfId="1639" xr:uid="{0F1FAFB5-FAF8-421B-A983-E4FF6145AB4E}"/>
    <cellStyle name="R02A 8" xfId="1640" xr:uid="{56C2BC5E-4D21-4636-979A-D99FAED659A1}"/>
    <cellStyle name="R02A 9" xfId="1641" xr:uid="{C7B9BAD4-B57A-497C-8BB6-070ECB03537C}"/>
    <cellStyle name="R02A_Sheet7" xfId="1642" xr:uid="{435BA8C5-C512-4316-AB19-4D5154FC7F03}"/>
    <cellStyle name="R02B" xfId="1643" xr:uid="{57EE662C-4E47-4296-A3A3-B4E336518E25}"/>
    <cellStyle name="R02B 2" xfId="1644" xr:uid="{67B51DDA-DE63-49C6-B184-879EA8ADA878}"/>
    <cellStyle name="R02B 2 2" xfId="1645" xr:uid="{946F073C-EE16-4AF1-A1E0-F3FD730465C7}"/>
    <cellStyle name="R02B 3" xfId="1646" xr:uid="{46FAB972-EC27-4411-ADFA-C1E2B760520F}"/>
    <cellStyle name="R02B 4" xfId="1647" xr:uid="{0A5FB53D-6BD2-47FB-A6C8-F304383C99CB}"/>
    <cellStyle name="R02B 5" xfId="1648" xr:uid="{A911767F-2D02-4660-BB10-074BF3C534A8}"/>
    <cellStyle name="R02H" xfId="1649" xr:uid="{C6F09643-6716-44A6-8FDF-1287AE74B0CA}"/>
    <cellStyle name="R02L" xfId="1650" xr:uid="{B0F9EE83-69F1-4051-84BC-CAA361847008}"/>
    <cellStyle name="R03A" xfId="1651" xr:uid="{496CB019-0A6D-46D5-A879-58508CA38812}"/>
    <cellStyle name="R03A 2" xfId="1652" xr:uid="{25B8AECA-AFFB-4A3E-AB70-62BBF1DF16AC}"/>
    <cellStyle name="R03A_Sheet7" xfId="1653" xr:uid="{C57FB8AA-11E5-47B0-868E-C7E869B25987}"/>
    <cellStyle name="R03B" xfId="1654" xr:uid="{85056592-BB23-43BF-AE7F-9AFF5D45BCF5}"/>
    <cellStyle name="R03B 2" xfId="1655" xr:uid="{06635CF6-C4FD-4DA4-BDE4-8FD72BECA815}"/>
    <cellStyle name="R03B 2 2" xfId="1656" xr:uid="{0A1A78D2-DD5D-40AA-8EC7-2CAE4298F7E5}"/>
    <cellStyle name="R03B 3" xfId="1657" xr:uid="{F18BB9EA-7FCD-4EE9-91BD-167FD269B3A4}"/>
    <cellStyle name="R03B 4" xfId="1658" xr:uid="{2A769321-56CC-4B39-88C6-100404B4E659}"/>
    <cellStyle name="R03B 5" xfId="1659" xr:uid="{D5920487-0AC6-4526-83A6-3A2F8BE6365F}"/>
    <cellStyle name="R03H" xfId="1660" xr:uid="{9368ECB8-D4D3-48CD-8948-1D289093CD0E}"/>
    <cellStyle name="R03L" xfId="1661" xr:uid="{3050A8DA-26A7-49C4-9FF2-47F5FD098E64}"/>
    <cellStyle name="R03L 2" xfId="1662" xr:uid="{A236CF33-FB1C-4683-AE6B-888E5394DE38}"/>
    <cellStyle name="R03L_Sheet7" xfId="1663" xr:uid="{BD70FC12-74C9-430F-AB0C-BDAF855EE722}"/>
    <cellStyle name="R04A" xfId="1664" xr:uid="{89E29F15-A5B4-43A2-A1DC-733A8EFFB765}"/>
    <cellStyle name="R04A 2" xfId="1665" xr:uid="{8D07B232-78D8-492E-98B9-C0AFF55FBC2B}"/>
    <cellStyle name="R04B" xfId="1666" xr:uid="{9976A1AA-8A24-4B57-A093-E5848278AF3D}"/>
    <cellStyle name="R04B 2" xfId="1667" xr:uid="{98AB4738-18B0-472F-9529-690BDE5E43BC}"/>
    <cellStyle name="R04B 2 2" xfId="1668" xr:uid="{4C2EE69E-7AB0-4B62-B03A-C4DCAFB803B1}"/>
    <cellStyle name="R04B 3" xfId="1669" xr:uid="{BBF310DC-C962-4189-A14F-0B03CB174B08}"/>
    <cellStyle name="R04B 4" xfId="1670" xr:uid="{3CD71756-0AE5-4141-A023-E8E50B804C02}"/>
    <cellStyle name="R04B 5" xfId="1671" xr:uid="{3DC015BC-C523-43D5-B6C4-8668AFCE03DC}"/>
    <cellStyle name="R04H" xfId="1672" xr:uid="{CD52153C-B6D6-42D7-B97B-CB3C72E92485}"/>
    <cellStyle name="R04L" xfId="1673" xr:uid="{3139D51C-F048-43B9-988B-F762C7EFA34D}"/>
    <cellStyle name="R04L 2" xfId="1674" xr:uid="{95BBB231-0750-4C01-B064-3CCAC6363630}"/>
    <cellStyle name="R04L 2 2" xfId="1675" xr:uid="{829462FD-6467-4ACA-8AB1-9036C022D536}"/>
    <cellStyle name="R05A" xfId="1676" xr:uid="{81B23505-8D5A-4C56-AE38-358BC56F146D}"/>
    <cellStyle name="R05A 2" xfId="1677" xr:uid="{957FAEC6-CCA6-4673-A564-2040E81A5634}"/>
    <cellStyle name="R05B" xfId="1678" xr:uid="{D711ADAB-2CE7-4128-930B-B4FFAB974D19}"/>
    <cellStyle name="R05B 2" xfId="1679" xr:uid="{9D64341B-65E0-4EF9-BACD-941938D8855E}"/>
    <cellStyle name="R05B 2 2" xfId="1680" xr:uid="{D4843E2B-BBF7-45CC-A9A5-4C5532D624A0}"/>
    <cellStyle name="R05B 3" xfId="1681" xr:uid="{485E645A-E685-41C7-BC6A-DA95F6189F19}"/>
    <cellStyle name="R05B 4" xfId="1682" xr:uid="{BD310008-0270-4481-AEA8-3756CFBD9AC4}"/>
    <cellStyle name="R05B 5" xfId="1683" xr:uid="{61F1E926-F1B5-498C-9154-972066C755A0}"/>
    <cellStyle name="R05H" xfId="1684" xr:uid="{EB081D19-4339-4D26-9572-ECB6AF04EDC7}"/>
    <cellStyle name="R05L" xfId="1685" xr:uid="{430721BC-3C53-441F-B204-2AA1636DCB48}"/>
    <cellStyle name="R05L 2" xfId="1686" xr:uid="{DA4986E3-910F-449E-B1EC-458099178B00}"/>
    <cellStyle name="R06A" xfId="1687" xr:uid="{354C60A7-93BE-42C4-827C-055D503962BD}"/>
    <cellStyle name="R06B" xfId="1688" xr:uid="{04931339-65AB-474D-9067-D52E74786AB8}"/>
    <cellStyle name="R06B 2" xfId="1689" xr:uid="{CA623A28-93DE-4D26-B112-6B13CA94425F}"/>
    <cellStyle name="R06B 2 2" xfId="1690" xr:uid="{798AF661-89A9-49A3-AA16-939A055EBCC1}"/>
    <cellStyle name="R06B 3" xfId="1691" xr:uid="{6A28566C-42E3-4FEE-9BCA-36D008D90034}"/>
    <cellStyle name="R06B 4" xfId="1692" xr:uid="{BCB33A38-7764-4BF9-A760-E04E3E366091}"/>
    <cellStyle name="R06B 5" xfId="1693" xr:uid="{783CC9CB-897A-41CA-834D-D454BE84440A}"/>
    <cellStyle name="R06H" xfId="1694" xr:uid="{A4FB9DC4-7FB5-4552-A440-3E98F9B5AC78}"/>
    <cellStyle name="R06L" xfId="1695" xr:uid="{6E7C73BA-CFBA-4980-B97E-EB06710129B7}"/>
    <cellStyle name="R07A" xfId="1696" xr:uid="{D95F68DD-7D04-427F-BB06-A8FD55793CC5}"/>
    <cellStyle name="R07B" xfId="1697" xr:uid="{4D4A95E5-DBF7-4087-B344-00CA00B40BD3}"/>
    <cellStyle name="R07B 2" xfId="1698" xr:uid="{5E5B5F6B-950F-4822-A2CB-3B8D2736744B}"/>
    <cellStyle name="R07B 2 2" xfId="1699" xr:uid="{BA49724D-EBA5-4414-BED2-21463EB0EC25}"/>
    <cellStyle name="R07B 3" xfId="1700" xr:uid="{3E144DDB-0861-43D7-88E4-0481BF65F1A4}"/>
    <cellStyle name="R07B 4" xfId="1701" xr:uid="{45F3E0A5-18A4-40B3-A7C7-165B1D4FE715}"/>
    <cellStyle name="R07B 5" xfId="1702" xr:uid="{684B0741-FF23-4031-AF73-91965657ED0D}"/>
    <cellStyle name="R07H" xfId="1703" xr:uid="{882E28F1-83E6-489A-A00B-871C87CD3F2F}"/>
    <cellStyle name="R07L" xfId="1704" xr:uid="{BBF77094-4850-4EB0-87CB-A44577692055}"/>
    <cellStyle name="Salida" xfId="1705" xr:uid="{53B12EFB-2654-4E62-91AB-3F2246981C9E}"/>
    <cellStyle name="Satisfaisant" xfId="1706" xr:uid="{FDE3FC52-0EB0-432A-BA11-8A74620D3A46}"/>
    <cellStyle name="Satisfaisant 2" xfId="1707" xr:uid="{22FCE597-7C24-4A71-AFA9-DA4761E74376}"/>
    <cellStyle name="Sheet Title" xfId="1708" xr:uid="{8FA21EF9-5AF1-406A-8538-17289C6998DD}"/>
    <cellStyle name="Sortie" xfId="1709" xr:uid="{1E388C17-97CE-4FF6-BE45-1F39925DAB3A}"/>
    <cellStyle name="Sortie 2" xfId="1710" xr:uid="{BB3F6FE1-F64B-4B8A-8F4A-97FEB7B39AC5}"/>
    <cellStyle name="Style 1" xfId="1711" xr:uid="{5B848222-F1B7-415D-B1CA-708469DF8224}"/>
    <cellStyle name="STYLE1" xfId="1712" xr:uid="{3A536207-2D8B-4F7F-B131-4B8B7145D22B}"/>
    <cellStyle name="STYLE1 2" xfId="1713" xr:uid="{2AD12240-9528-497E-B470-8189ED61D3BE}"/>
    <cellStyle name="STYLE1 3" xfId="1714" xr:uid="{6CC4DEE7-459D-4DC9-AAB2-C44570F3B1E0}"/>
    <cellStyle name="STYLE2" xfId="1715" xr:uid="{66D2117F-D018-41EE-933C-141E908A4665}"/>
    <cellStyle name="STYLE3" xfId="1716" xr:uid="{A1657E22-F777-4685-8CEF-B74F6F33D1B1}"/>
    <cellStyle name="STYLE4" xfId="1717" xr:uid="{85856CEB-E144-4922-AEF8-9A05BDDFC363}"/>
    <cellStyle name="STYLE5" xfId="1718" xr:uid="{5B79A6F1-59A0-48E3-AA9C-3D2B7737CD79}"/>
    <cellStyle name="Testo avviso" xfId="1719" xr:uid="{2A2908FF-AF3A-4B41-B8FC-4CED1B6064BB}"/>
    <cellStyle name="Testo descrittivo" xfId="1720" xr:uid="{3D3A3DDE-2887-4145-8C77-F1E84D092F68}"/>
    <cellStyle name="Texte explicatif" xfId="1721" xr:uid="{AF6A81B9-DBE6-4022-BD79-05C01C141AA2}"/>
    <cellStyle name="Texte explicatif 2" xfId="1722" xr:uid="{1C6016DC-0CAE-4A8A-900E-D27EA75C0EB4}"/>
    <cellStyle name="Texto de advertencia" xfId="1723" xr:uid="{AB57D2DE-6182-46EA-BAEC-85EEDBE42DC0}"/>
    <cellStyle name="Texto explicativo" xfId="1724" xr:uid="{42BCEE53-CE6E-402B-9FCA-FD789DAB547A}"/>
    <cellStyle name="Title 2" xfId="1725" xr:uid="{262EB70E-4F7F-45FC-AE71-9C173F38DA91}"/>
    <cellStyle name="Title 2 2" xfId="1726" xr:uid="{0BABD5CC-CDBF-47FE-9C81-607E3D3EEDCA}"/>
    <cellStyle name="Titolo" xfId="1727" xr:uid="{3EE9E327-8245-40AB-996B-4937C04AB843}"/>
    <cellStyle name="Titolo 1" xfId="1728" xr:uid="{D1F5E6F8-6519-4220-8D0C-DAFB470ED158}"/>
    <cellStyle name="Titolo 2" xfId="1729" xr:uid="{9E8B379F-54AC-49F4-ABE0-568E77D7FB38}"/>
    <cellStyle name="Titolo 3" xfId="1730" xr:uid="{BDBADBCD-234C-49CE-9A40-BA0A06102130}"/>
    <cellStyle name="Titolo 3 2" xfId="1731" xr:uid="{5E002635-7DA2-4166-B5F7-55F007B26DF0}"/>
    <cellStyle name="Titolo 4" xfId="1732" xr:uid="{CEF767E6-3E2F-471D-8CF4-9358B283CC8A}"/>
    <cellStyle name="Titre" xfId="1733" xr:uid="{75E000AA-F857-414B-91D3-6D531CE89E1D}"/>
    <cellStyle name="Titre 2" xfId="1734" xr:uid="{B7FD3B6C-253B-41A1-BDAE-E5EA8D9EBC68}"/>
    <cellStyle name="Titre 1" xfId="1735" xr:uid="{54011FCC-EFF6-410C-AED2-024490AA824F}"/>
    <cellStyle name="Titre 1 2" xfId="1736" xr:uid="{722D1222-AF63-4EB4-B954-5639C81B438D}"/>
    <cellStyle name="Titre 2" xfId="1737" xr:uid="{485A1FA3-5718-4914-9307-9787C8DB770F}"/>
    <cellStyle name="Titre 2 2" xfId="1738" xr:uid="{7140074E-9A31-4498-8A4E-771A04E1F74A}"/>
    <cellStyle name="Titre 3" xfId="1739" xr:uid="{DE825D1A-FCAD-40C7-9ED3-70D953B01E12}"/>
    <cellStyle name="Titre 3 2" xfId="1740" xr:uid="{D2F13895-8AB6-43E2-8DEB-3F31B17C63AE}"/>
    <cellStyle name="Titre 3 2 2" xfId="1741" xr:uid="{442F4C9C-96D9-433F-8548-75EE546D5044}"/>
    <cellStyle name="Titre 3 3" xfId="1742" xr:uid="{22A28F90-E575-4BD3-A79E-CA3789D8715E}"/>
    <cellStyle name="Titre 4" xfId="1743" xr:uid="{42CCD2F3-827E-4A07-ADF3-EBDBE8858A51}"/>
    <cellStyle name="Titre 4 2" xfId="1744" xr:uid="{A5F2BB52-8ED1-4468-8750-ECC8CBAB7D64}"/>
    <cellStyle name="Título" xfId="1745" xr:uid="{232747D9-2131-4DE0-9662-952AEC4F9393}"/>
    <cellStyle name="Título 1" xfId="1746" xr:uid="{38FF0738-D26B-437A-AA9D-1C5683B79DAC}"/>
    <cellStyle name="Título 2" xfId="1747" xr:uid="{3C163D69-120C-4FBF-B8DC-28CBB912BB1A}"/>
    <cellStyle name="Título 3" xfId="1748" xr:uid="{319EFB0B-FE46-41FA-B2EC-6D6879F57B73}"/>
    <cellStyle name="Título 3 2" xfId="1749" xr:uid="{3401A13F-F77C-45C1-B68E-DC7DCA5687CC}"/>
    <cellStyle name="Total 2" xfId="1750" xr:uid="{F95BE760-021D-41A5-9DA8-5D6C74A55C21}"/>
    <cellStyle name="Total 2 2" xfId="1751" xr:uid="{25BA9354-6C82-4529-9E0B-73D7BF443802}"/>
    <cellStyle name="Total 2 3" xfId="1752" xr:uid="{7A0D53FF-237E-4FAD-9EE7-A9C83C6C347F}"/>
    <cellStyle name="Total 3" xfId="1753" xr:uid="{B2BF689E-8B8D-4AA5-A202-53BCD4691C21}"/>
    <cellStyle name="Totale" xfId="1754" xr:uid="{377122B9-A8C4-42CD-BF9E-79E24B3AAFBB}"/>
    <cellStyle name="Unit" xfId="1755" xr:uid="{556CA655-F3CB-4480-A393-A21FF7E80A4D}"/>
    <cellStyle name="Unit 2" xfId="1756" xr:uid="{6FC69E04-6725-4FD5-9B7A-EE3ACBB08845}"/>
    <cellStyle name="Unlocked" xfId="1757" xr:uid="{BB8FDA3E-9C3E-45EB-A631-EFB75D51DF4F}"/>
    <cellStyle name="Valore non valido" xfId="1758" xr:uid="{14FE1651-C174-4658-A83F-BE69184623AA}"/>
    <cellStyle name="Valore valido" xfId="1759" xr:uid="{B5BFBB2A-37C1-48A3-B62F-6102B388FB92}"/>
    <cellStyle name="Vérification" xfId="1760" xr:uid="{72F87B8C-1718-4682-8956-501B68106628}"/>
    <cellStyle name="Vérification 2" xfId="1761" xr:uid="{8D19CDF6-90BC-453D-B34F-AFC46126D770}"/>
    <cellStyle name="Warning Text 2" xfId="1762" xr:uid="{3C911E99-8909-4A40-9223-A14EB31EF894}"/>
    <cellStyle name="Warning Text 2 2" xfId="1763" xr:uid="{4AE9CEA4-947D-409E-8BF7-4477A0BD4834}"/>
    <cellStyle name="wraptext" xfId="1764" xr:uid="{0A1C9E67-CC90-4510-B99B-FBB66F58405F}"/>
    <cellStyle name="wraptext 2" xfId="1765" xr:uid="{57527FE6-D5DE-4951-934D-F51A95364C1E}"/>
    <cellStyle name="アクセント 1" xfId="1766" xr:uid="{CDEFB007-D020-4978-8CDA-DA00F2E1B891}"/>
    <cellStyle name="アクセント 2" xfId="1767" xr:uid="{29FC1210-EBE0-43D0-8C1E-88693B3911DB}"/>
    <cellStyle name="アクセント 3" xfId="1768" xr:uid="{D2DA38E9-116F-44FE-870F-556BBC89E842}"/>
    <cellStyle name="アクセント 4" xfId="1769" xr:uid="{BDA78DB1-C794-4572-A793-9A9CEC76148C}"/>
    <cellStyle name="アクセント 5" xfId="1770" xr:uid="{C139DE97-066E-4469-BCFA-BE85ECD9A584}"/>
    <cellStyle name="アクセント 6" xfId="1771" xr:uid="{EA3095BA-B1B1-4623-B437-F825EF5C1586}"/>
    <cellStyle name="タイトル" xfId="1772" xr:uid="{4CE9A5B0-EC12-4274-94C1-3DD03E10F440}"/>
    <cellStyle name="チェック セル" xfId="1773" xr:uid="{FC4BCE9A-AAFC-4F48-B458-29A3602A9814}"/>
    <cellStyle name="どちらでもない" xfId="1774" xr:uid="{B200C79B-6EAE-4D00-8ECE-059CBF3484FF}"/>
    <cellStyle name="メモ" xfId="1775" xr:uid="{D105F027-8F63-4F77-80C9-B15294E3D1F6}"/>
    <cellStyle name="メモ 2" xfId="1776" xr:uid="{EA4AF847-59B1-4E96-820F-D2281E7C3D92}"/>
    <cellStyle name="リンク セル" xfId="1777" xr:uid="{111ACE0C-9025-4B02-BBFF-72F4CB4CED33}"/>
    <cellStyle name="ปกติ_Budget_and_budget_note_template(1)" xfId="1778" xr:uid="{DABF1206-8A9D-4F2A-97CA-60973AD901D2}"/>
    <cellStyle name="入力" xfId="1779" xr:uid="{332B759E-B9D2-4E9E-B48D-E0FE164F4D70}"/>
    <cellStyle name="出力" xfId="1780" xr:uid="{B1793B8E-26F5-479A-A732-E4BD41D4A845}"/>
    <cellStyle name="悪い" xfId="1781" xr:uid="{79F65D10-CB68-4F4B-8750-E43DDD6365EF}"/>
    <cellStyle name="良い" xfId="1782" xr:uid="{7DD2157D-CC6E-470C-9555-9D589A74A622}"/>
    <cellStyle name="見出し 1" xfId="1783" xr:uid="{C8233776-2705-4516-B058-4B413FF637A4}"/>
    <cellStyle name="見出し 2" xfId="1784" xr:uid="{DD41F7AB-251C-47E7-BFD7-BB5793928C5E}"/>
    <cellStyle name="見出し 3" xfId="1785" xr:uid="{AEEB3606-FF36-46A0-8B30-76E4E0EEFCE1}"/>
    <cellStyle name="見出し 3 2" xfId="1786" xr:uid="{3DB78EF3-F49B-4966-BADB-C509EC3FD0D9}"/>
    <cellStyle name="見出し 4" xfId="1787" xr:uid="{9D8AB799-6A02-43BC-9785-37B7C972C729}"/>
    <cellStyle name="計算" xfId="1788" xr:uid="{BE0C422E-BA60-40EE-A0A9-0E9640537394}"/>
    <cellStyle name="説明文" xfId="1789" xr:uid="{FE9531BA-D5F0-465D-AB38-166E10079A64}"/>
    <cellStyle name="警告文" xfId="1790" xr:uid="{F5FFB45E-0529-481C-A30A-C1C842FABE13}"/>
    <cellStyle name="集計" xfId="1791" xr:uid="{5AB10F62-6245-4E96-AA69-86CF0BA75C72}"/>
  </cellStyles>
  <dxfs count="0"/>
  <tableStyles count="0" defaultTableStyle="TableStyleMedium9" defaultPivotStyle="PivotStyleLight16"/>
  <colors>
    <mruColors>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IREX%20CLP%20Budget%20Final%20for%20submission%203-1.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personal/vserhiyenko_irex_org/Documents/Documents/Local%20Subgrants/Competitions/Templates/&#1055;&#1088;&#1086;&#1087;&#1086;&#1079;&#1080;&#1094;&#1110;&#1103;%20&#1097;&#1086;&#1076;&#1086;%20&#1074;&#1080;&#1090;&#1088;&#1072;&#1090;%20(&#1073;&#1102;&#1076;&#1078;&#1077;&#1090;).xls" TargetMode="External"/><Relationship Id="rId1" Type="http://schemas.openxmlformats.org/officeDocument/2006/relationships/externalLinkPath" Target="/personal/vserhiyenko_irex_org/Documents/Documents/Local%20Subgrants/Competitions/Templates/&#1055;&#1088;&#1086;&#1087;&#1086;&#1079;&#1080;&#1094;&#1110;&#1103;%20&#1097;&#1086;&#1076;&#1086;%20&#1074;&#1080;&#1090;&#1088;&#1072;&#1090;%20(&#1073;&#1102;&#1076;&#1078;&#1077;&#1090;).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Documents%20and%20Settings/Admin/Local%20Settings/Temporary%20Internet%20Files/OLK6/NDI%20Pact%20Belarus%20Budget-%202008-2011%20(2).xls" TargetMode="External"/><Relationship Id="rId1" Type="http://schemas.openxmlformats.org/officeDocument/2006/relationships/externalLinkPath" Target="/Documents%20and%20Settings/Admin/Local%20Settings/Temporary%20Internet%20Files/OLK6/NDI%20Pact%20Belarus%20Budget-%202008-2011%20(2).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Documents%20and%20Settings/jmcelwain/Local%20Settings/Temporary%20Internet%20Files/OLK2A/SUDAn%203%20year.xls" TargetMode="External"/><Relationship Id="rId1" Type="http://schemas.openxmlformats.org/officeDocument/2006/relationships/externalLinkPath" Target="/Documents%20and%20Settings/jmcelwain/Local%20Settings/Temporary%20Internet%20Files/OLK2A/SUDAn%203%20yea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F424"/>
      <sheetName val="SF424A"/>
      <sheetName val="Summary"/>
      <sheetName val="Budget Line Item"/>
      <sheetName val="Fringe"/>
      <sheetName val="Training Media and Comp 3"/>
      <sheetName val="Training Comp 4"/>
      <sheetName val="Equipment"/>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ummary"/>
      <sheetName val="Details"/>
      <sheetName val="Travel_Transportation"/>
      <sheetName val="Trainings_Meetings"/>
      <sheetName val="Інструкції до бюджету"/>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ummary"/>
      <sheetName val="Year 1 Salary Template "/>
      <sheetName val="Year 2 Salary Template"/>
      <sheetName val="Year 3 Salary Template"/>
      <sheetName val="Links"/>
    </sheetNames>
    <sheetDataSet>
      <sheetData sheetId="0"/>
      <sheetData sheetId="1"/>
      <sheetData sheetId="2"/>
      <sheetData sheetId="3"/>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re Budget"/>
      <sheetName val="Pipeline"/>
      <sheetName val="Salaries - 5 year"/>
      <sheetName val="Activity Costs"/>
      <sheetName val="HIV-AIDS 2004-05"/>
      <sheetName val="HIV Salaries"/>
      <sheetName val="Econ Budget"/>
      <sheetName val="Econ Salaries"/>
      <sheetName val="Links"/>
    </sheetNames>
    <sheetDataSet>
      <sheetData sheetId="0"/>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2E124-1C87-4332-8ECE-4E1751D801A6}">
  <dimension ref="A1:D15"/>
  <sheetViews>
    <sheetView workbookViewId="0">
      <selection activeCell="B4" sqref="B4"/>
    </sheetView>
  </sheetViews>
  <sheetFormatPr defaultRowHeight="12.6"/>
  <cols>
    <col min="1" max="1" width="35" customWidth="1"/>
    <col min="2" max="2" width="15.140625" customWidth="1"/>
    <col min="3" max="3" width="16.140625" customWidth="1"/>
  </cols>
  <sheetData>
    <row r="1" spans="1:4" ht="12.95" thickBot="1">
      <c r="A1" s="1"/>
      <c r="B1" s="1"/>
      <c r="C1" s="1"/>
      <c r="D1" s="1"/>
    </row>
    <row r="2" spans="1:4" ht="43.7" customHeight="1">
      <c r="A2" s="145" t="s">
        <v>0</v>
      </c>
      <c r="B2" s="146"/>
      <c r="C2" s="147"/>
      <c r="D2" s="69"/>
    </row>
    <row r="3" spans="1:4" ht="37.700000000000003" customHeight="1">
      <c r="A3" s="57"/>
      <c r="B3" s="58" t="s">
        <v>1</v>
      </c>
      <c r="C3" s="59" t="s">
        <v>2</v>
      </c>
      <c r="D3" s="1"/>
    </row>
    <row r="4" spans="1:4" ht="15" customHeight="1">
      <c r="A4" s="112" t="s">
        <v>3</v>
      </c>
      <c r="B4" s="60">
        <f>Budget!H15</f>
        <v>0</v>
      </c>
      <c r="C4" s="61">
        <v>0</v>
      </c>
      <c r="D4" s="1"/>
    </row>
    <row r="5" spans="1:4" ht="15" customHeight="1">
      <c r="A5" s="112" t="s">
        <v>4</v>
      </c>
      <c r="B5" s="60">
        <f>Budget!H20</f>
        <v>0</v>
      </c>
      <c r="C5" s="61">
        <v>0</v>
      </c>
      <c r="D5" s="1"/>
    </row>
    <row r="6" spans="1:4" ht="15" customHeight="1">
      <c r="A6" s="112" t="s">
        <v>5</v>
      </c>
      <c r="B6" s="60">
        <f>Budget!H24</f>
        <v>0</v>
      </c>
      <c r="C6" s="61">
        <v>0</v>
      </c>
      <c r="D6" s="1"/>
    </row>
    <row r="7" spans="1:4" ht="15" customHeight="1">
      <c r="A7" s="112" t="s">
        <v>6</v>
      </c>
      <c r="B7" s="60">
        <f>Budget!H36</f>
        <v>0</v>
      </c>
      <c r="C7" s="61">
        <v>0</v>
      </c>
      <c r="D7" s="1"/>
    </row>
    <row r="8" spans="1:4" ht="15" customHeight="1">
      <c r="A8" s="112" t="s">
        <v>7</v>
      </c>
      <c r="B8" s="60">
        <f>Budget!H42</f>
        <v>0</v>
      </c>
      <c r="C8" s="61">
        <v>0</v>
      </c>
      <c r="D8" s="1"/>
    </row>
    <row r="9" spans="1:4" ht="15" customHeight="1">
      <c r="A9" s="112" t="s">
        <v>8</v>
      </c>
      <c r="B9" s="60">
        <f>Budget!H53</f>
        <v>0</v>
      </c>
      <c r="C9" s="61">
        <v>0</v>
      </c>
      <c r="D9" s="1"/>
    </row>
    <row r="10" spans="1:4" ht="28.7" customHeight="1">
      <c r="A10" s="112" t="s">
        <v>9</v>
      </c>
      <c r="B10" s="60">
        <f>SUM(B4:B9)</f>
        <v>0</v>
      </c>
      <c r="C10" s="61">
        <v>0</v>
      </c>
      <c r="D10" s="1"/>
    </row>
    <row r="11" spans="1:4" ht="15" customHeight="1">
      <c r="A11" s="112" t="s">
        <v>10</v>
      </c>
      <c r="B11" s="60">
        <f>Budget!H57</f>
        <v>0</v>
      </c>
      <c r="C11" s="61">
        <v>0</v>
      </c>
      <c r="D11" s="1"/>
    </row>
    <row r="12" spans="1:4" ht="15" thickBot="1">
      <c r="A12" s="113" t="s">
        <v>11</v>
      </c>
      <c r="B12" s="114">
        <f>B10+B11</f>
        <v>0</v>
      </c>
      <c r="C12" s="115">
        <v>0</v>
      </c>
      <c r="D12" s="1"/>
    </row>
    <row r="13" spans="1:4">
      <c r="A13" s="1"/>
      <c r="B13" s="1"/>
      <c r="C13" s="1"/>
      <c r="D13" s="1"/>
    </row>
    <row r="14" spans="1:4">
      <c r="A14" s="1"/>
      <c r="B14" s="1"/>
      <c r="C14" s="1"/>
      <c r="D14" s="1"/>
    </row>
    <row r="15" spans="1:4">
      <c r="A15" s="1"/>
      <c r="B15" s="1"/>
      <c r="C15" s="1"/>
      <c r="D15" s="1"/>
    </row>
  </sheetData>
  <mergeCells count="1">
    <mergeCell ref="A2:C2"/>
  </mergeCells>
  <phoneticPr fontId="3"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3F1F3-26B5-401A-8BD2-AE3820881A61}">
  <sheetPr codeName="Sheet2">
    <pageSetUpPr fitToPage="1"/>
  </sheetPr>
  <dimension ref="A1:FC532"/>
  <sheetViews>
    <sheetView tabSelected="1" zoomScale="55" zoomScaleNormal="55" zoomScaleSheetLayoutView="70" zoomScalePageLayoutView="90" workbookViewId="0">
      <selection activeCell="K55" sqref="K55"/>
    </sheetView>
  </sheetViews>
  <sheetFormatPr defaultColWidth="9.140625" defaultRowHeight="15.6"/>
  <cols>
    <col min="1" max="1" width="2.140625" style="2" customWidth="1"/>
    <col min="2" max="2" width="35.42578125" style="2" customWidth="1"/>
    <col min="3" max="3" width="15.5703125" style="3" customWidth="1"/>
    <col min="4" max="4" width="10.85546875" style="4" customWidth="1"/>
    <col min="5" max="5" width="17.85546875" style="4" customWidth="1"/>
    <col min="6" max="6" width="18.140625" style="4" customWidth="1"/>
    <col min="7" max="7" width="32.5703125" style="4" customWidth="1"/>
    <col min="8" max="8" width="21.5703125" style="39" customWidth="1"/>
    <col min="9" max="9" width="18.5703125" style="6" customWidth="1"/>
    <col min="10" max="10" width="37.140625" style="2" customWidth="1"/>
    <col min="11" max="11" width="85.28515625" style="122" customWidth="1"/>
    <col min="12" max="12" width="62.85546875" style="2" customWidth="1"/>
    <col min="13" max="16384" width="9.140625" style="2"/>
  </cols>
  <sheetData>
    <row r="1" spans="1:21" s="7" customFormat="1" ht="75.599999999999994" customHeight="1" thickBot="1">
      <c r="B1" s="140" t="s">
        <v>12</v>
      </c>
      <c r="C1" s="141"/>
      <c r="D1" s="141"/>
      <c r="E1" s="141"/>
      <c r="F1" s="141"/>
      <c r="G1" s="141"/>
      <c r="H1" s="141"/>
      <c r="I1" s="141"/>
      <c r="J1" s="141"/>
      <c r="K1" s="121"/>
    </row>
    <row r="2" spans="1:21" ht="15.95" thickBot="1">
      <c r="B2" s="8"/>
      <c r="C2" s="8"/>
      <c r="D2" s="8"/>
      <c r="E2" s="8"/>
      <c r="F2" s="8"/>
      <c r="H2" s="5"/>
    </row>
    <row r="3" spans="1:21" ht="35.1" customHeight="1" thickBot="1">
      <c r="B3" s="70" t="s">
        <v>13</v>
      </c>
      <c r="C3" s="140"/>
      <c r="D3" s="141"/>
      <c r="E3" s="141"/>
      <c r="F3" s="142"/>
      <c r="H3" s="5"/>
    </row>
    <row r="4" spans="1:21" ht="31.5" thickBot="1">
      <c r="B4" s="70" t="s">
        <v>14</v>
      </c>
      <c r="C4" s="140"/>
      <c r="D4" s="141"/>
      <c r="E4" s="141"/>
      <c r="F4" s="142"/>
      <c r="H4" s="5"/>
    </row>
    <row r="5" spans="1:21" ht="117" customHeight="1">
      <c r="B5" s="70" t="s">
        <v>15</v>
      </c>
      <c r="C5" s="143" t="s">
        <v>16</v>
      </c>
      <c r="D5" s="148"/>
      <c r="E5" s="148"/>
      <c r="F5" s="149"/>
      <c r="H5" s="5"/>
      <c r="J5" s="120" t="s">
        <v>17</v>
      </c>
      <c r="K5" s="123" t="s">
        <v>18</v>
      </c>
    </row>
    <row r="6" spans="1:21" ht="93.75" customHeight="1">
      <c r="B6" s="70" t="s">
        <v>19</v>
      </c>
      <c r="C6" s="140"/>
      <c r="D6" s="141"/>
      <c r="E6" s="141"/>
      <c r="F6" s="142"/>
      <c r="G6" s="5"/>
      <c r="H6" s="5"/>
      <c r="K6" s="124" t="s">
        <v>20</v>
      </c>
    </row>
    <row r="7" spans="1:21" ht="77.099999999999994" customHeight="1" thickBot="1">
      <c r="B7" s="70" t="s">
        <v>21</v>
      </c>
      <c r="C7" s="140" t="s">
        <v>22</v>
      </c>
      <c r="D7" s="141"/>
      <c r="E7" s="141"/>
      <c r="F7" s="142"/>
      <c r="H7" s="5"/>
      <c r="I7" s="11"/>
      <c r="J7" s="12"/>
      <c r="K7" s="125" t="s">
        <v>23</v>
      </c>
      <c r="L7" s="12"/>
      <c r="M7" s="12"/>
      <c r="N7" s="12"/>
      <c r="O7" s="12"/>
      <c r="P7" s="12"/>
      <c r="Q7" s="12"/>
    </row>
    <row r="8" spans="1:21" ht="15.95" thickBot="1">
      <c r="B8" s="71"/>
      <c r="C8" s="9"/>
      <c r="D8" s="10"/>
      <c r="E8" s="10"/>
      <c r="F8" s="10"/>
      <c r="H8" s="5"/>
      <c r="I8" s="11"/>
      <c r="J8" s="12"/>
      <c r="K8" s="126"/>
      <c r="L8" s="12"/>
      <c r="M8" s="12"/>
      <c r="N8" s="12"/>
      <c r="O8" s="12"/>
      <c r="P8" s="12"/>
      <c r="Q8" s="12"/>
    </row>
    <row r="9" spans="1:21" s="13" customFormat="1" ht="50.45" customHeight="1" thickBot="1">
      <c r="B9" s="84" t="s">
        <v>24</v>
      </c>
      <c r="C9" s="85" t="s">
        <v>25</v>
      </c>
      <c r="D9" s="86" t="s">
        <v>26</v>
      </c>
      <c r="E9" s="86" t="s">
        <v>27</v>
      </c>
      <c r="F9" s="86" t="s">
        <v>26</v>
      </c>
      <c r="G9" s="86" t="s">
        <v>27</v>
      </c>
      <c r="H9" s="85" t="s">
        <v>28</v>
      </c>
      <c r="I9" s="85" t="s">
        <v>29</v>
      </c>
      <c r="J9" s="87" t="s">
        <v>30</v>
      </c>
      <c r="K9" s="127" t="s">
        <v>31</v>
      </c>
      <c r="L9" s="12"/>
      <c r="M9" s="12"/>
      <c r="N9" s="12"/>
      <c r="O9" s="12"/>
      <c r="P9" s="12"/>
      <c r="Q9" s="12"/>
      <c r="R9" s="12"/>
      <c r="S9" s="12"/>
      <c r="T9" s="12"/>
      <c r="U9" s="12"/>
    </row>
    <row r="10" spans="1:21" ht="30.6" customHeight="1">
      <c r="A10" s="14"/>
      <c r="B10" s="88" t="s">
        <v>32</v>
      </c>
      <c r="C10" s="40"/>
      <c r="D10" s="41"/>
      <c r="E10" s="41"/>
      <c r="F10" s="41"/>
      <c r="G10" s="41"/>
      <c r="H10" s="42"/>
      <c r="I10" s="43"/>
      <c r="J10" s="89"/>
      <c r="K10" s="135" t="s">
        <v>33</v>
      </c>
      <c r="L10" s="12"/>
      <c r="M10" s="12"/>
      <c r="N10" s="12"/>
      <c r="O10" s="12"/>
      <c r="P10" s="12"/>
      <c r="Q10" s="12"/>
      <c r="R10" s="12"/>
      <c r="S10" s="12"/>
      <c r="T10" s="12"/>
      <c r="U10" s="12"/>
    </row>
    <row r="11" spans="1:21" ht="27" customHeight="1">
      <c r="A11" s="14"/>
      <c r="B11" s="90" t="s">
        <v>34</v>
      </c>
      <c r="C11" s="44">
        <v>0</v>
      </c>
      <c r="D11" s="45">
        <v>6</v>
      </c>
      <c r="E11" s="46" t="s">
        <v>35</v>
      </c>
      <c r="F11" s="47">
        <v>0</v>
      </c>
      <c r="G11" s="46" t="s">
        <v>36</v>
      </c>
      <c r="H11" s="48">
        <f>ROUND(C11*D11*F11,2)</f>
        <v>0</v>
      </c>
      <c r="I11" s="49">
        <f>ROUND(H11,2)</f>
        <v>0</v>
      </c>
      <c r="J11" s="91"/>
      <c r="K11" s="144"/>
      <c r="L11" s="12"/>
      <c r="M11" s="12"/>
      <c r="N11" s="12"/>
      <c r="O11" s="12"/>
      <c r="P11" s="12"/>
      <c r="Q11" s="12"/>
      <c r="R11" s="12"/>
      <c r="S11" s="12"/>
      <c r="T11" s="12"/>
      <c r="U11" s="12"/>
    </row>
    <row r="12" spans="1:21" ht="33" customHeight="1">
      <c r="A12" s="14"/>
      <c r="B12" s="90" t="s">
        <v>37</v>
      </c>
      <c r="C12" s="44">
        <v>0</v>
      </c>
      <c r="D12" s="45">
        <v>6</v>
      </c>
      <c r="E12" s="46" t="s">
        <v>35</v>
      </c>
      <c r="F12" s="47">
        <v>0</v>
      </c>
      <c r="G12" s="46" t="s">
        <v>36</v>
      </c>
      <c r="H12" s="48">
        <f>ROUND(C12*D12*F12,2)</f>
        <v>0</v>
      </c>
      <c r="I12" s="49">
        <f>ROUND(H12,2)</f>
        <v>0</v>
      </c>
      <c r="J12" s="91"/>
      <c r="K12" s="144"/>
      <c r="L12" s="12"/>
      <c r="M12" s="12"/>
      <c r="N12" s="12"/>
      <c r="O12" s="12"/>
      <c r="P12" s="12"/>
      <c r="Q12" s="12"/>
      <c r="R12" s="12"/>
      <c r="S12" s="12"/>
      <c r="T12" s="12"/>
      <c r="U12" s="12"/>
    </row>
    <row r="13" spans="1:21" ht="180.6" customHeight="1" thickBot="1">
      <c r="A13" s="14"/>
      <c r="B13" s="92" t="s">
        <v>38</v>
      </c>
      <c r="C13" s="42"/>
      <c r="D13" s="50"/>
      <c r="E13" s="50"/>
      <c r="F13" s="50"/>
      <c r="G13" s="50"/>
      <c r="H13" s="48"/>
      <c r="I13" s="51"/>
      <c r="J13" s="91"/>
      <c r="K13" s="139"/>
      <c r="L13" s="12"/>
      <c r="M13" s="12"/>
      <c r="N13" s="12"/>
      <c r="O13" s="12"/>
      <c r="P13" s="12"/>
      <c r="Q13" s="12"/>
      <c r="R13" s="12"/>
      <c r="S13" s="12"/>
      <c r="T13" s="12"/>
      <c r="U13" s="12"/>
    </row>
    <row r="14" spans="1:21" ht="59.45" customHeight="1" thickBot="1">
      <c r="A14" s="14"/>
      <c r="B14" s="90" t="s">
        <v>39</v>
      </c>
      <c r="C14" s="44">
        <f>SUM(C11:C13)</f>
        <v>0</v>
      </c>
      <c r="D14" s="45">
        <v>6</v>
      </c>
      <c r="E14" s="46" t="s">
        <v>35</v>
      </c>
      <c r="F14" s="47">
        <v>0.22</v>
      </c>
      <c r="G14" s="46"/>
      <c r="H14" s="48">
        <f>ROUND(C14*D14*F14,2)</f>
        <v>0</v>
      </c>
      <c r="I14" s="49">
        <f>ROUND(H14,2)</f>
        <v>0</v>
      </c>
      <c r="J14" s="91"/>
      <c r="K14" s="129" t="s">
        <v>40</v>
      </c>
      <c r="L14" s="12"/>
      <c r="M14" s="12"/>
      <c r="N14" s="12"/>
      <c r="O14" s="12"/>
      <c r="P14" s="12"/>
      <c r="Q14" s="12"/>
      <c r="R14" s="12"/>
      <c r="S14" s="12"/>
      <c r="T14" s="12"/>
      <c r="U14" s="12"/>
    </row>
    <row r="15" spans="1:21" ht="26.1">
      <c r="B15" s="93" t="s">
        <v>41</v>
      </c>
      <c r="C15" s="66"/>
      <c r="D15" s="66"/>
      <c r="E15" s="66"/>
      <c r="F15" s="66"/>
      <c r="G15" s="66"/>
      <c r="H15" s="67">
        <f>ROUND(SUM(H11:H14),0)</f>
        <v>0</v>
      </c>
      <c r="I15" s="67">
        <f>ROUND(SUM(I11:I14),0)</f>
        <v>0</v>
      </c>
      <c r="J15" s="94" t="b">
        <f>I15=ROUND(H15,0)</f>
        <v>1</v>
      </c>
      <c r="K15" s="126"/>
      <c r="L15" s="12"/>
      <c r="M15" s="12"/>
      <c r="N15" s="12"/>
      <c r="O15" s="12"/>
      <c r="P15" s="12"/>
      <c r="Q15" s="12"/>
      <c r="R15" s="12"/>
      <c r="S15" s="12"/>
      <c r="T15" s="12"/>
      <c r="U15" s="12"/>
    </row>
    <row r="16" spans="1:21" ht="30.95" customHeight="1" thickBot="1">
      <c r="A16" s="14"/>
      <c r="B16" s="95" t="s">
        <v>42</v>
      </c>
      <c r="C16" s="40"/>
      <c r="D16" s="45"/>
      <c r="E16" s="45"/>
      <c r="F16" s="45"/>
      <c r="G16" s="45"/>
      <c r="H16" s="42"/>
      <c r="I16" s="43"/>
      <c r="J16" s="89"/>
      <c r="K16" s="126"/>
      <c r="L16" s="12"/>
      <c r="M16" s="12"/>
      <c r="N16" s="12"/>
      <c r="O16" s="12"/>
      <c r="P16" s="12"/>
      <c r="Q16" s="12"/>
      <c r="R16" s="12"/>
      <c r="S16" s="12"/>
      <c r="T16" s="12"/>
      <c r="U16" s="12"/>
    </row>
    <row r="17" spans="1:21" ht="54" customHeight="1">
      <c r="B17" s="96" t="s">
        <v>43</v>
      </c>
      <c r="C17" s="44">
        <v>0</v>
      </c>
      <c r="D17" s="45">
        <v>0</v>
      </c>
      <c r="E17" s="45" t="s">
        <v>44</v>
      </c>
      <c r="F17" s="45">
        <v>0</v>
      </c>
      <c r="G17" s="45" t="s">
        <v>45</v>
      </c>
      <c r="H17" s="48">
        <f>ROUND(C17*D17*F17, 2)</f>
        <v>0</v>
      </c>
      <c r="I17" s="49">
        <f>H17</f>
        <v>0</v>
      </c>
      <c r="J17" s="91"/>
      <c r="K17" s="133" t="s">
        <v>46</v>
      </c>
      <c r="L17" s="12"/>
      <c r="M17" s="12"/>
      <c r="N17" s="12"/>
      <c r="O17" s="12"/>
      <c r="P17" s="12"/>
      <c r="Q17" s="12"/>
      <c r="R17" s="12"/>
      <c r="S17" s="12"/>
      <c r="T17" s="12"/>
      <c r="U17" s="12"/>
    </row>
    <row r="18" spans="1:21" ht="135" customHeight="1" thickBot="1">
      <c r="B18" s="90" t="s">
        <v>47</v>
      </c>
      <c r="C18" s="44">
        <v>0</v>
      </c>
      <c r="D18" s="45">
        <v>0</v>
      </c>
      <c r="E18" s="45" t="s">
        <v>48</v>
      </c>
      <c r="F18" s="45">
        <v>0</v>
      </c>
      <c r="G18" s="45" t="s">
        <v>45</v>
      </c>
      <c r="H18" s="48">
        <f>ROUND(C18*D18*F18, 2)</f>
        <v>0</v>
      </c>
      <c r="I18" s="49">
        <f>H18</f>
        <v>0</v>
      </c>
      <c r="J18" s="91"/>
      <c r="K18" s="134"/>
      <c r="L18" s="12"/>
      <c r="M18" s="12"/>
      <c r="N18" s="12"/>
      <c r="O18" s="12"/>
      <c r="P18" s="12"/>
      <c r="Q18" s="12"/>
      <c r="R18" s="12"/>
      <c r="S18" s="12"/>
      <c r="T18" s="12"/>
      <c r="U18" s="12"/>
    </row>
    <row r="19" spans="1:21" ht="78.599999999999994" customHeight="1">
      <c r="B19" s="97" t="s">
        <v>49</v>
      </c>
      <c r="C19" s="44">
        <v>0</v>
      </c>
      <c r="D19" s="45">
        <v>0</v>
      </c>
      <c r="E19" s="45" t="s">
        <v>50</v>
      </c>
      <c r="F19" s="45">
        <v>0</v>
      </c>
      <c r="G19" s="45" t="s">
        <v>45</v>
      </c>
      <c r="H19" s="48">
        <f>ROUND(C19*D19*F19, 2)</f>
        <v>0</v>
      </c>
      <c r="I19" s="49">
        <f>H19</f>
        <v>0</v>
      </c>
      <c r="J19" s="98"/>
      <c r="K19" s="135" t="s">
        <v>51</v>
      </c>
      <c r="L19" s="12"/>
      <c r="M19" s="12"/>
      <c r="N19" s="12"/>
      <c r="O19" s="12"/>
      <c r="P19" s="12"/>
      <c r="Q19" s="12"/>
      <c r="R19" s="12"/>
      <c r="S19" s="12"/>
      <c r="T19" s="12"/>
      <c r="U19" s="12"/>
    </row>
    <row r="20" spans="1:21" ht="39.6" thickBot="1">
      <c r="B20" s="99" t="s">
        <v>52</v>
      </c>
      <c r="C20" s="68"/>
      <c r="D20" s="68"/>
      <c r="E20" s="68"/>
      <c r="F20" s="68"/>
      <c r="G20" s="68"/>
      <c r="H20" s="68">
        <f>ROUND(SUM(H17:H19),0)</f>
        <v>0</v>
      </c>
      <c r="I20" s="68">
        <f>ROUND(SUM(I17:I19),0)</f>
        <v>0</v>
      </c>
      <c r="J20" s="100" t="b">
        <f>I20=ROUND(H15,0)</f>
        <v>1</v>
      </c>
      <c r="K20" s="136"/>
      <c r="L20" s="12"/>
      <c r="M20" s="12"/>
      <c r="N20" s="12"/>
      <c r="O20" s="12"/>
      <c r="P20" s="12"/>
      <c r="Q20" s="12"/>
      <c r="R20" s="12"/>
      <c r="S20" s="12"/>
      <c r="T20" s="12"/>
      <c r="U20" s="12"/>
    </row>
    <row r="21" spans="1:21" ht="15.95" thickBot="1">
      <c r="B21" s="95"/>
      <c r="C21" s="53"/>
      <c r="D21" s="45"/>
      <c r="E21" s="45"/>
      <c r="F21" s="45"/>
      <c r="G21" s="45"/>
      <c r="H21" s="42"/>
      <c r="I21" s="43"/>
      <c r="J21" s="89"/>
      <c r="K21" s="126"/>
      <c r="L21" s="12"/>
      <c r="M21" s="12"/>
      <c r="N21" s="12"/>
      <c r="O21" s="12"/>
      <c r="P21" s="12"/>
      <c r="Q21" s="12"/>
      <c r="R21" s="12"/>
      <c r="S21" s="12"/>
      <c r="T21" s="12"/>
      <c r="U21" s="12"/>
    </row>
    <row r="22" spans="1:21" ht="32.1" customHeight="1">
      <c r="A22" s="14"/>
      <c r="B22" s="95" t="s">
        <v>53</v>
      </c>
      <c r="C22" s="53"/>
      <c r="D22" s="45"/>
      <c r="E22" s="45"/>
      <c r="F22" s="45"/>
      <c r="G22" s="45"/>
      <c r="H22" s="54"/>
      <c r="I22" s="43"/>
      <c r="J22" s="89"/>
      <c r="K22" s="133" t="s">
        <v>54</v>
      </c>
      <c r="L22" s="12"/>
      <c r="M22" s="12"/>
      <c r="N22" s="12"/>
      <c r="O22" s="12"/>
      <c r="P22" s="12"/>
      <c r="Q22" s="12"/>
      <c r="R22" s="12"/>
      <c r="S22" s="12"/>
      <c r="T22" s="12"/>
      <c r="U22" s="12"/>
    </row>
    <row r="23" spans="1:21" ht="41.45" customHeight="1">
      <c r="A23" s="14"/>
      <c r="B23" s="90" t="s">
        <v>55</v>
      </c>
      <c r="C23" s="44">
        <v>0</v>
      </c>
      <c r="D23" s="45">
        <v>0</v>
      </c>
      <c r="E23" s="45" t="s">
        <v>56</v>
      </c>
      <c r="F23" s="45">
        <v>0</v>
      </c>
      <c r="G23" s="45"/>
      <c r="H23" s="48">
        <f>ROUND(C23*D23*F23, 2)</f>
        <v>0</v>
      </c>
      <c r="I23" s="49">
        <f>H23</f>
        <v>0</v>
      </c>
      <c r="J23" s="98"/>
      <c r="K23" s="137"/>
      <c r="L23" s="12"/>
      <c r="M23" s="12"/>
      <c r="N23" s="12"/>
      <c r="O23" s="12"/>
      <c r="P23" s="12"/>
      <c r="Q23" s="12"/>
      <c r="R23" s="12"/>
      <c r="S23" s="12"/>
    </row>
    <row r="24" spans="1:21" ht="62.45" customHeight="1" thickBot="1">
      <c r="A24" s="14"/>
      <c r="B24" s="99" t="s">
        <v>57</v>
      </c>
      <c r="C24" s="68"/>
      <c r="D24" s="68"/>
      <c r="E24" s="68"/>
      <c r="F24" s="68"/>
      <c r="G24" s="68"/>
      <c r="H24" s="68">
        <f>ROUND(SUM(H23:H23),0)</f>
        <v>0</v>
      </c>
      <c r="I24" s="68">
        <f>ROUND(SUM(I23:I23),0)</f>
        <v>0</v>
      </c>
      <c r="J24" s="100" t="b">
        <f>I24=ROUND(H15,0)</f>
        <v>1</v>
      </c>
      <c r="K24" s="138"/>
      <c r="L24" s="12"/>
      <c r="M24" s="12"/>
      <c r="N24" s="12"/>
      <c r="O24" s="12"/>
      <c r="P24" s="12"/>
      <c r="Q24" s="12"/>
      <c r="R24" s="12"/>
      <c r="S24" s="12"/>
      <c r="T24" s="12"/>
      <c r="U24" s="12"/>
    </row>
    <row r="25" spans="1:21" ht="30.95" customHeight="1" thickBot="1">
      <c r="B25" s="96"/>
      <c r="C25" s="40"/>
      <c r="D25" s="41"/>
      <c r="E25" s="41"/>
      <c r="F25" s="41"/>
      <c r="G25" s="41"/>
      <c r="H25" s="42"/>
      <c r="I25" s="43"/>
      <c r="J25" s="89"/>
      <c r="K25" s="126"/>
      <c r="L25" s="12"/>
      <c r="M25" s="12"/>
      <c r="N25" s="12"/>
      <c r="O25" s="12"/>
      <c r="P25" s="12"/>
      <c r="Q25" s="12"/>
      <c r="R25" s="12"/>
      <c r="S25" s="12"/>
      <c r="T25" s="12"/>
      <c r="U25" s="12"/>
    </row>
    <row r="26" spans="1:21" ht="122.45" customHeight="1" thickBot="1">
      <c r="A26" s="14"/>
      <c r="B26" s="95" t="s">
        <v>58</v>
      </c>
      <c r="C26" s="40"/>
      <c r="D26" s="41"/>
      <c r="E26" s="41"/>
      <c r="F26" s="41"/>
      <c r="G26" s="41"/>
      <c r="H26" s="42"/>
      <c r="I26" s="43"/>
      <c r="J26" s="89"/>
      <c r="K26" s="128" t="s">
        <v>59</v>
      </c>
      <c r="L26" s="12"/>
      <c r="M26" s="12"/>
      <c r="N26" s="12"/>
      <c r="O26" s="12"/>
      <c r="P26" s="12"/>
      <c r="Q26" s="12"/>
      <c r="R26" s="12"/>
      <c r="S26" s="12"/>
      <c r="T26" s="12"/>
      <c r="U26" s="12"/>
    </row>
    <row r="27" spans="1:21" ht="91.5" customHeight="1" thickBot="1">
      <c r="B27" s="90" t="s">
        <v>60</v>
      </c>
      <c r="C27" s="44">
        <v>0</v>
      </c>
      <c r="D27" s="45">
        <v>6</v>
      </c>
      <c r="E27" s="45" t="s">
        <v>35</v>
      </c>
      <c r="F27" s="55"/>
      <c r="G27" s="45"/>
      <c r="H27" s="48">
        <f t="shared" ref="H27:H34" si="0">ROUND(C27*D27, 2)</f>
        <v>0</v>
      </c>
      <c r="I27" s="49">
        <f t="shared" ref="I27:I34" si="1">H27</f>
        <v>0</v>
      </c>
      <c r="J27" s="98"/>
      <c r="K27" s="128" t="s">
        <v>61</v>
      </c>
      <c r="L27" s="12"/>
      <c r="M27" s="12"/>
      <c r="N27" s="12"/>
      <c r="O27" s="12"/>
      <c r="P27" s="12"/>
      <c r="Q27" s="12"/>
      <c r="R27" s="12"/>
      <c r="S27" s="12"/>
      <c r="T27" s="12"/>
      <c r="U27" s="12"/>
    </row>
    <row r="28" spans="1:21" ht="30.95" customHeight="1" thickBot="1">
      <c r="B28" s="90"/>
      <c r="C28" s="44">
        <v>0</v>
      </c>
      <c r="D28" s="45">
        <v>6</v>
      </c>
      <c r="E28" s="45" t="s">
        <v>35</v>
      </c>
      <c r="F28" s="55"/>
      <c r="G28" s="45"/>
      <c r="H28" s="48">
        <f t="shared" si="0"/>
        <v>0</v>
      </c>
      <c r="I28" s="49">
        <f t="shared" si="1"/>
        <v>0</v>
      </c>
      <c r="J28" s="98"/>
      <c r="K28" s="130"/>
      <c r="L28" s="12"/>
      <c r="M28" s="12"/>
      <c r="N28" s="12"/>
      <c r="O28" s="12"/>
      <c r="P28" s="12"/>
      <c r="Q28" s="12"/>
      <c r="R28" s="12"/>
      <c r="S28" s="12"/>
      <c r="T28" s="12"/>
      <c r="U28" s="12"/>
    </row>
    <row r="29" spans="1:21" ht="36.950000000000003" customHeight="1" thickBot="1">
      <c r="B29" s="90"/>
      <c r="C29" s="44">
        <v>0</v>
      </c>
      <c r="D29" s="45">
        <v>6</v>
      </c>
      <c r="E29" s="45" t="s">
        <v>35</v>
      </c>
      <c r="F29" s="55"/>
      <c r="G29" s="45"/>
      <c r="H29" s="48">
        <f t="shared" si="0"/>
        <v>0</v>
      </c>
      <c r="I29" s="49">
        <f t="shared" si="1"/>
        <v>0</v>
      </c>
      <c r="J29" s="98"/>
      <c r="K29" s="130"/>
      <c r="L29" s="12"/>
      <c r="M29" s="12"/>
      <c r="N29" s="12"/>
      <c r="O29" s="12"/>
      <c r="P29" s="12"/>
      <c r="Q29" s="12"/>
      <c r="R29" s="12"/>
      <c r="S29" s="12"/>
      <c r="T29" s="12"/>
      <c r="U29" s="12"/>
    </row>
    <row r="30" spans="1:21" ht="87" customHeight="1" thickBot="1">
      <c r="B30" s="90" t="s">
        <v>62</v>
      </c>
      <c r="C30" s="44">
        <v>0</v>
      </c>
      <c r="D30" s="45">
        <v>0</v>
      </c>
      <c r="E30" s="45" t="s">
        <v>63</v>
      </c>
      <c r="F30" s="55"/>
      <c r="G30" s="45"/>
      <c r="H30" s="48">
        <f t="shared" si="0"/>
        <v>0</v>
      </c>
      <c r="I30" s="49">
        <f t="shared" si="1"/>
        <v>0</v>
      </c>
      <c r="J30" s="98"/>
      <c r="K30" s="129" t="s">
        <v>64</v>
      </c>
      <c r="L30" s="12"/>
      <c r="M30" s="12"/>
      <c r="N30" s="12"/>
      <c r="O30" s="12"/>
      <c r="P30" s="12"/>
      <c r="Q30" s="12"/>
      <c r="R30" s="12"/>
      <c r="S30" s="12"/>
      <c r="T30" s="12"/>
      <c r="U30" s="12"/>
    </row>
    <row r="31" spans="1:21" ht="25.5" customHeight="1">
      <c r="B31" s="90"/>
      <c r="C31" s="44">
        <v>0</v>
      </c>
      <c r="D31" s="45">
        <v>0</v>
      </c>
      <c r="E31" s="45" t="s">
        <v>63</v>
      </c>
      <c r="F31" s="55"/>
      <c r="G31" s="45"/>
      <c r="H31" s="48">
        <f t="shared" si="0"/>
        <v>0</v>
      </c>
      <c r="I31" s="49">
        <f t="shared" si="1"/>
        <v>0</v>
      </c>
      <c r="J31" s="98"/>
      <c r="K31" s="131"/>
      <c r="L31" s="12"/>
      <c r="M31" s="12"/>
      <c r="N31" s="12"/>
      <c r="O31" s="12"/>
      <c r="P31" s="12"/>
      <c r="Q31" s="12"/>
      <c r="R31" s="12"/>
      <c r="S31" s="12"/>
      <c r="T31" s="12"/>
      <c r="U31" s="12"/>
    </row>
    <row r="32" spans="1:21" ht="33" customHeight="1" thickBot="1">
      <c r="B32" s="90"/>
      <c r="C32" s="44">
        <v>0</v>
      </c>
      <c r="D32" s="45">
        <v>0</v>
      </c>
      <c r="E32" s="45" t="s">
        <v>63</v>
      </c>
      <c r="F32" s="55"/>
      <c r="G32" s="45"/>
      <c r="H32" s="48">
        <f t="shared" si="0"/>
        <v>0</v>
      </c>
      <c r="I32" s="49">
        <f t="shared" si="1"/>
        <v>0</v>
      </c>
      <c r="J32" s="98"/>
      <c r="K32" s="126"/>
      <c r="L32" s="12"/>
      <c r="M32" s="12"/>
      <c r="N32" s="12"/>
      <c r="O32" s="12"/>
      <c r="P32" s="12"/>
      <c r="Q32" s="12"/>
      <c r="R32" s="12"/>
      <c r="S32" s="12"/>
      <c r="T32" s="12"/>
      <c r="U32" s="12"/>
    </row>
    <row r="33" spans="1:21" ht="102.6" customHeight="1" thickBot="1">
      <c r="B33" s="90" t="s">
        <v>65</v>
      </c>
      <c r="C33" s="44">
        <v>0</v>
      </c>
      <c r="D33" s="45">
        <v>0</v>
      </c>
      <c r="E33" s="45" t="s">
        <v>63</v>
      </c>
      <c r="F33" s="55"/>
      <c r="G33" s="45"/>
      <c r="H33" s="48">
        <f t="shared" si="0"/>
        <v>0</v>
      </c>
      <c r="I33" s="49">
        <f t="shared" si="1"/>
        <v>0</v>
      </c>
      <c r="J33" s="98"/>
      <c r="K33" s="129" t="s">
        <v>66</v>
      </c>
      <c r="L33" s="12"/>
      <c r="M33" s="12"/>
      <c r="N33" s="12"/>
      <c r="O33" s="12"/>
      <c r="P33" s="12"/>
      <c r="Q33" s="12"/>
      <c r="R33" s="12"/>
      <c r="S33" s="12"/>
      <c r="T33" s="12"/>
      <c r="U33" s="12"/>
    </row>
    <row r="34" spans="1:21" ht="30.95" customHeight="1">
      <c r="B34" s="90"/>
      <c r="C34" s="44">
        <v>0</v>
      </c>
      <c r="D34" s="45">
        <v>0</v>
      </c>
      <c r="E34" s="45" t="s">
        <v>63</v>
      </c>
      <c r="F34" s="55"/>
      <c r="G34" s="45"/>
      <c r="H34" s="48">
        <f t="shared" si="0"/>
        <v>0</v>
      </c>
      <c r="I34" s="49">
        <f t="shared" si="1"/>
        <v>0</v>
      </c>
      <c r="J34" s="98"/>
      <c r="K34" s="126"/>
      <c r="L34" s="12"/>
      <c r="M34" s="12"/>
      <c r="N34" s="12"/>
      <c r="O34" s="12"/>
      <c r="P34" s="12"/>
      <c r="Q34" s="12"/>
      <c r="R34" s="12"/>
      <c r="S34" s="12"/>
      <c r="T34" s="12"/>
      <c r="U34" s="12"/>
    </row>
    <row r="35" spans="1:21">
      <c r="B35" s="90"/>
      <c r="C35" s="53"/>
      <c r="D35" s="45"/>
      <c r="E35" s="45"/>
      <c r="F35" s="55"/>
      <c r="G35" s="45"/>
      <c r="H35" s="48"/>
      <c r="I35" s="48"/>
      <c r="J35" s="89"/>
      <c r="K35" s="126"/>
      <c r="L35" s="12"/>
      <c r="M35" s="12"/>
      <c r="N35" s="12"/>
      <c r="O35" s="12"/>
      <c r="P35" s="12"/>
      <c r="Q35" s="12"/>
      <c r="R35" s="12"/>
      <c r="S35" s="12"/>
      <c r="T35" s="12"/>
      <c r="U35" s="12"/>
    </row>
    <row r="36" spans="1:21" ht="26.1">
      <c r="B36" s="99" t="s">
        <v>67</v>
      </c>
      <c r="C36" s="68"/>
      <c r="D36" s="68"/>
      <c r="E36" s="68"/>
      <c r="F36" s="68"/>
      <c r="G36" s="68"/>
      <c r="H36" s="68">
        <f>ROUND(SUM(H27:H35),0)</f>
        <v>0</v>
      </c>
      <c r="I36" s="68">
        <f>ROUND(SUM(I27:I35),0)</f>
        <v>0</v>
      </c>
      <c r="J36" s="100" t="b">
        <f>I36=ROUND(H15,0)</f>
        <v>1</v>
      </c>
      <c r="K36" s="126"/>
      <c r="L36" s="12"/>
      <c r="M36" s="12"/>
      <c r="N36" s="12"/>
      <c r="O36" s="12"/>
      <c r="P36" s="12"/>
      <c r="Q36" s="12"/>
      <c r="R36" s="12"/>
      <c r="S36" s="12"/>
      <c r="T36" s="12"/>
      <c r="U36" s="12"/>
    </row>
    <row r="37" spans="1:21" ht="15.95" thickBot="1">
      <c r="B37" s="95"/>
      <c r="C37" s="40"/>
      <c r="D37" s="41"/>
      <c r="E37" s="41"/>
      <c r="F37" s="41"/>
      <c r="G37" s="41"/>
      <c r="H37" s="42"/>
      <c r="I37" s="43"/>
      <c r="J37" s="89"/>
      <c r="K37" s="126"/>
      <c r="L37" s="12"/>
      <c r="M37" s="12"/>
      <c r="N37" s="12"/>
      <c r="O37" s="12"/>
      <c r="P37" s="12"/>
      <c r="Q37" s="12"/>
      <c r="R37" s="12"/>
      <c r="S37" s="12"/>
      <c r="T37" s="12"/>
      <c r="U37" s="12"/>
    </row>
    <row r="38" spans="1:21" ht="102.6" customHeight="1" thickBot="1">
      <c r="A38" s="14"/>
      <c r="B38" s="95" t="s">
        <v>68</v>
      </c>
      <c r="C38" s="40"/>
      <c r="D38" s="41"/>
      <c r="E38" s="41"/>
      <c r="F38" s="41"/>
      <c r="G38" s="41"/>
      <c r="H38" s="42"/>
      <c r="I38" s="43"/>
      <c r="J38" s="89"/>
      <c r="K38" s="129" t="s">
        <v>69</v>
      </c>
      <c r="L38" s="12"/>
      <c r="M38" s="12"/>
      <c r="N38" s="12"/>
      <c r="O38" s="12"/>
      <c r="P38" s="12"/>
      <c r="Q38" s="12"/>
      <c r="R38" s="12"/>
      <c r="S38" s="12"/>
      <c r="T38" s="12"/>
      <c r="U38" s="12"/>
    </row>
    <row r="39" spans="1:21" ht="100.5" customHeight="1" thickBot="1">
      <c r="B39" s="101" t="s">
        <v>70</v>
      </c>
      <c r="C39" s="77">
        <v>0</v>
      </c>
      <c r="D39" s="78">
        <v>0</v>
      </c>
      <c r="E39" s="79" t="s">
        <v>71</v>
      </c>
      <c r="F39" s="78">
        <v>0</v>
      </c>
      <c r="G39" s="78" t="s">
        <v>44</v>
      </c>
      <c r="H39" s="80">
        <f>ROUND(C39*D39*F39, 2)</f>
        <v>0</v>
      </c>
      <c r="I39" s="81">
        <f>H39</f>
        <v>0</v>
      </c>
      <c r="J39" s="98"/>
      <c r="K39" s="129" t="s">
        <v>72</v>
      </c>
      <c r="L39" s="119"/>
      <c r="M39" s="12"/>
      <c r="N39" s="12"/>
      <c r="O39" s="12"/>
      <c r="P39" s="12"/>
      <c r="Q39" s="12"/>
      <c r="R39" s="12"/>
      <c r="S39" s="12"/>
      <c r="T39" s="12"/>
      <c r="U39" s="12"/>
    </row>
    <row r="40" spans="1:21" ht="54" customHeight="1">
      <c r="B40" s="90" t="s">
        <v>73</v>
      </c>
      <c r="C40" s="44">
        <v>0</v>
      </c>
      <c r="D40" s="45">
        <v>0</v>
      </c>
      <c r="E40" s="45" t="s">
        <v>74</v>
      </c>
      <c r="F40" s="45"/>
      <c r="G40" s="45"/>
      <c r="H40" s="48">
        <f>ROUND(C40*D40, 2)</f>
        <v>0</v>
      </c>
      <c r="I40" s="49">
        <f>H40</f>
        <v>0</v>
      </c>
      <c r="J40" s="98"/>
      <c r="K40" s="135" t="s">
        <v>75</v>
      </c>
      <c r="L40" s="12"/>
      <c r="M40" s="12"/>
      <c r="N40" s="12"/>
      <c r="O40" s="12"/>
      <c r="P40" s="12"/>
      <c r="Q40" s="12"/>
      <c r="R40" s="12"/>
      <c r="S40" s="12"/>
      <c r="T40" s="12"/>
      <c r="U40" s="12"/>
    </row>
    <row r="41" spans="1:21" ht="107.1" customHeight="1" thickBot="1">
      <c r="B41" s="90" t="s">
        <v>76</v>
      </c>
      <c r="C41" s="44">
        <v>0</v>
      </c>
      <c r="D41" s="45">
        <v>0</v>
      </c>
      <c r="E41" s="45" t="s">
        <v>74</v>
      </c>
      <c r="F41" s="45"/>
      <c r="G41" s="45"/>
      <c r="H41" s="48">
        <f>ROUND(C41*D41, 2)</f>
        <v>0</v>
      </c>
      <c r="I41" s="49">
        <f>H41</f>
        <v>0</v>
      </c>
      <c r="J41" s="98"/>
      <c r="K41" s="139"/>
      <c r="L41" s="12"/>
      <c r="M41" s="12"/>
      <c r="N41" s="12"/>
      <c r="O41" s="12"/>
      <c r="P41" s="12"/>
      <c r="Q41" s="12"/>
      <c r="R41" s="12"/>
      <c r="S41" s="12"/>
      <c r="T41" s="12"/>
      <c r="U41" s="12"/>
    </row>
    <row r="42" spans="1:21" ht="26.1">
      <c r="B42" s="102" t="s">
        <v>77</v>
      </c>
      <c r="C42" s="76"/>
      <c r="D42" s="76"/>
      <c r="E42" s="76"/>
      <c r="F42" s="76"/>
      <c r="G42" s="76"/>
      <c r="H42" s="76">
        <f>ROUND(SUM(H39:H41),0)</f>
        <v>0</v>
      </c>
      <c r="I42" s="76">
        <f>ROUND(SUM(I39:I41),0)</f>
        <v>0</v>
      </c>
      <c r="J42" s="100" t="b">
        <f>I42=ROUND(H15,0)</f>
        <v>1</v>
      </c>
      <c r="L42" s="12"/>
      <c r="M42" s="12"/>
      <c r="N42" s="12"/>
      <c r="O42" s="12"/>
      <c r="P42" s="12"/>
      <c r="Q42" s="12"/>
      <c r="R42" s="12"/>
      <c r="S42" s="12"/>
      <c r="T42" s="12"/>
      <c r="U42" s="12"/>
    </row>
    <row r="43" spans="1:21">
      <c r="B43" s="96"/>
      <c r="C43" s="40"/>
      <c r="D43" s="41"/>
      <c r="E43" s="41"/>
      <c r="F43" s="41"/>
      <c r="G43" s="41"/>
      <c r="H43" s="42"/>
      <c r="I43" s="43"/>
      <c r="J43" s="89"/>
      <c r="K43" s="126"/>
      <c r="L43" s="12"/>
      <c r="M43" s="12"/>
      <c r="N43" s="12"/>
      <c r="O43" s="12"/>
      <c r="P43" s="12"/>
      <c r="Q43" s="12"/>
      <c r="R43" s="12"/>
      <c r="S43" s="12"/>
      <c r="T43" s="12"/>
      <c r="U43" s="12"/>
    </row>
    <row r="44" spans="1:21" ht="32.450000000000003" customHeight="1" thickBot="1">
      <c r="A44" s="14"/>
      <c r="B44" s="103" t="s">
        <v>78</v>
      </c>
      <c r="C44" s="40"/>
      <c r="D44" s="41"/>
      <c r="E44" s="41"/>
      <c r="F44" s="41"/>
      <c r="G44" s="41"/>
      <c r="H44" s="42"/>
      <c r="I44" s="43"/>
      <c r="J44" s="89"/>
      <c r="K44" s="126"/>
      <c r="L44" s="12"/>
      <c r="M44" s="12"/>
      <c r="N44" s="12"/>
      <c r="O44" s="12"/>
      <c r="P44" s="12"/>
      <c r="Q44" s="12"/>
      <c r="R44" s="12"/>
      <c r="S44" s="12"/>
      <c r="T44" s="12"/>
      <c r="U44" s="12"/>
    </row>
    <row r="45" spans="1:21" ht="90.6" customHeight="1" thickBot="1">
      <c r="A45" s="14"/>
      <c r="B45" s="92" t="s">
        <v>79</v>
      </c>
      <c r="C45" s="40"/>
      <c r="D45" s="41"/>
      <c r="E45" s="41"/>
      <c r="F45" s="41"/>
      <c r="G45" s="41"/>
      <c r="H45" s="42"/>
      <c r="I45" s="43"/>
      <c r="J45" s="89"/>
      <c r="K45" s="129" t="s">
        <v>80</v>
      </c>
      <c r="L45" s="12"/>
      <c r="M45" s="12"/>
      <c r="N45" s="12"/>
      <c r="O45" s="12"/>
      <c r="P45" s="12"/>
      <c r="Q45" s="12"/>
      <c r="R45" s="12"/>
      <c r="S45" s="12"/>
      <c r="T45" s="12"/>
      <c r="U45" s="12"/>
    </row>
    <row r="46" spans="1:21" ht="71.45" customHeight="1">
      <c r="A46" s="14"/>
      <c r="B46" s="104" t="s">
        <v>81</v>
      </c>
      <c r="C46" s="82">
        <v>0</v>
      </c>
      <c r="D46" s="83">
        <v>0</v>
      </c>
      <c r="E46" s="83" t="s">
        <v>82</v>
      </c>
      <c r="F46" s="41">
        <v>0</v>
      </c>
      <c r="G46" s="83" t="s">
        <v>71</v>
      </c>
      <c r="H46" s="48">
        <f>ROUND(C46*D46, 2)</f>
        <v>0</v>
      </c>
      <c r="I46" s="49">
        <f>H46</f>
        <v>0</v>
      </c>
      <c r="J46" s="98"/>
      <c r="K46" s="129" t="s">
        <v>83</v>
      </c>
      <c r="L46" s="12"/>
      <c r="M46" s="12"/>
      <c r="N46" s="12"/>
      <c r="O46" s="12"/>
      <c r="P46" s="12"/>
      <c r="Q46" s="12"/>
      <c r="R46" s="12"/>
      <c r="S46" s="12"/>
      <c r="T46" s="12"/>
      <c r="U46" s="12"/>
    </row>
    <row r="47" spans="1:21" ht="96" customHeight="1" thickBot="1">
      <c r="A47" s="14"/>
      <c r="B47" s="104" t="s">
        <v>84</v>
      </c>
      <c r="C47" s="82">
        <v>0</v>
      </c>
      <c r="D47" s="83">
        <v>0</v>
      </c>
      <c r="E47" s="83" t="s">
        <v>71</v>
      </c>
      <c r="F47" s="41">
        <v>0</v>
      </c>
      <c r="G47" s="78" t="s">
        <v>44</v>
      </c>
      <c r="H47" s="48">
        <f>ROUND(C47*D47*F47, 2)</f>
        <v>0</v>
      </c>
      <c r="I47" s="49">
        <f>H47</f>
        <v>0</v>
      </c>
      <c r="J47" s="98"/>
      <c r="K47" s="129" t="s">
        <v>85</v>
      </c>
      <c r="L47" s="12"/>
      <c r="M47" s="12"/>
      <c r="N47" s="12"/>
      <c r="O47" s="12"/>
      <c r="P47" s="12"/>
      <c r="Q47" s="12"/>
      <c r="R47" s="12"/>
      <c r="S47" s="12"/>
      <c r="T47" s="12"/>
      <c r="U47" s="12"/>
    </row>
    <row r="48" spans="1:21" ht="97.5" customHeight="1" thickBot="1">
      <c r="A48" s="14"/>
      <c r="B48" s="104" t="s">
        <v>86</v>
      </c>
      <c r="C48" s="82">
        <v>0</v>
      </c>
      <c r="D48" s="83">
        <v>0</v>
      </c>
      <c r="E48" s="83" t="s">
        <v>71</v>
      </c>
      <c r="F48" s="41"/>
      <c r="G48" s="41"/>
      <c r="H48" s="48">
        <f>ROUND(C48*D48, 2)</f>
        <v>0</v>
      </c>
      <c r="I48" s="49">
        <f>H48</f>
        <v>0</v>
      </c>
      <c r="J48" s="98"/>
      <c r="K48" s="129" t="s">
        <v>87</v>
      </c>
      <c r="L48" s="12"/>
      <c r="M48" s="12"/>
      <c r="N48" s="12"/>
      <c r="O48" s="12"/>
      <c r="P48" s="12"/>
      <c r="Q48" s="12"/>
      <c r="R48" s="12"/>
      <c r="S48" s="12"/>
      <c r="T48" s="12"/>
      <c r="U48" s="12"/>
    </row>
    <row r="49" spans="1:159" ht="32.1" customHeight="1">
      <c r="A49" s="14"/>
      <c r="B49" s="92"/>
      <c r="C49" s="40"/>
      <c r="D49" s="41"/>
      <c r="E49" s="41"/>
      <c r="F49" s="41"/>
      <c r="G49" s="41"/>
      <c r="H49" s="48">
        <f>ROUND(C49*D49, 2)</f>
        <v>0</v>
      </c>
      <c r="I49" s="49">
        <f>H49</f>
        <v>0</v>
      </c>
      <c r="J49" s="98"/>
      <c r="K49" s="126"/>
      <c r="L49" s="12"/>
      <c r="M49" s="12"/>
      <c r="N49" s="12"/>
      <c r="O49" s="12"/>
      <c r="P49" s="12"/>
      <c r="Q49" s="12"/>
      <c r="R49" s="12"/>
      <c r="S49" s="12"/>
      <c r="T49" s="12"/>
      <c r="U49" s="12"/>
    </row>
    <row r="50" spans="1:159" ht="22.5" customHeight="1" thickBot="1">
      <c r="A50" s="14"/>
      <c r="B50" s="92" t="s">
        <v>88</v>
      </c>
      <c r="C50" s="42"/>
      <c r="D50" s="50"/>
      <c r="E50" s="50"/>
      <c r="F50" s="50"/>
      <c r="G50" s="50"/>
      <c r="H50" s="48"/>
      <c r="I50" s="49"/>
      <c r="J50" s="89"/>
      <c r="K50" s="126"/>
      <c r="L50" s="12"/>
      <c r="M50" s="12"/>
      <c r="N50" s="12"/>
      <c r="O50" s="12"/>
      <c r="P50" s="12"/>
      <c r="Q50" s="12"/>
      <c r="R50" s="12"/>
      <c r="S50" s="12"/>
      <c r="T50" s="12"/>
      <c r="U50" s="12"/>
    </row>
    <row r="51" spans="1:159" ht="69.95" customHeight="1" thickBot="1">
      <c r="B51" s="90" t="s">
        <v>89</v>
      </c>
      <c r="C51" s="44">
        <v>0</v>
      </c>
      <c r="D51" s="45">
        <v>6</v>
      </c>
      <c r="E51" s="45" t="s">
        <v>90</v>
      </c>
      <c r="F51" s="45"/>
      <c r="G51" s="45"/>
      <c r="H51" s="48">
        <f>ROUND(C51*D51, 2)</f>
        <v>0</v>
      </c>
      <c r="I51" s="49">
        <f>H51</f>
        <v>0</v>
      </c>
      <c r="J51" s="98"/>
      <c r="K51" s="129" t="s">
        <v>91</v>
      </c>
      <c r="L51" s="12"/>
      <c r="M51" s="12"/>
      <c r="N51" s="12"/>
      <c r="O51" s="12"/>
      <c r="P51" s="12"/>
      <c r="Q51" s="12"/>
      <c r="R51" s="12"/>
      <c r="S51" s="12"/>
      <c r="T51" s="12"/>
      <c r="U51" s="12"/>
    </row>
    <row r="52" spans="1:159" ht="70.5" customHeight="1" thickBot="1">
      <c r="B52" s="90" t="s">
        <v>92</v>
      </c>
      <c r="C52" s="44">
        <v>0</v>
      </c>
      <c r="D52" s="45">
        <v>6</v>
      </c>
      <c r="E52" s="45" t="s">
        <v>90</v>
      </c>
      <c r="F52" s="45"/>
      <c r="G52" s="45"/>
      <c r="H52" s="48">
        <f>ROUND(C52*D52, 2)</f>
        <v>0</v>
      </c>
      <c r="I52" s="49">
        <f>H52</f>
        <v>0</v>
      </c>
      <c r="J52" s="98"/>
      <c r="K52" s="129" t="s">
        <v>93</v>
      </c>
      <c r="L52" s="12"/>
      <c r="M52" s="12"/>
      <c r="N52" s="12"/>
      <c r="O52" s="12"/>
      <c r="P52" s="12"/>
      <c r="Q52" s="12"/>
      <c r="R52" s="12"/>
      <c r="S52" s="12"/>
      <c r="T52" s="12"/>
      <c r="U52" s="12"/>
    </row>
    <row r="53" spans="1:159" ht="26.1">
      <c r="B53" s="99" t="s">
        <v>94</v>
      </c>
      <c r="C53" s="68"/>
      <c r="D53" s="68"/>
      <c r="E53" s="68"/>
      <c r="F53" s="68"/>
      <c r="G53" s="68"/>
      <c r="H53" s="68">
        <f>ROUND(SUM(H45:H52),0)</f>
        <v>0</v>
      </c>
      <c r="I53" s="68">
        <f>ROUND(SUM(I45:I52),0)</f>
        <v>0</v>
      </c>
      <c r="J53" s="100" t="b">
        <f>I53=ROUND(H15,0)</f>
        <v>1</v>
      </c>
      <c r="K53" s="126"/>
      <c r="L53" s="12"/>
      <c r="M53" s="12"/>
      <c r="N53" s="12"/>
      <c r="O53" s="12"/>
      <c r="P53" s="12"/>
      <c r="Q53" s="12"/>
      <c r="R53" s="12"/>
      <c r="S53" s="12"/>
      <c r="T53" s="12"/>
      <c r="U53" s="12"/>
    </row>
    <row r="54" spans="1:159" ht="26.1">
      <c r="B54" s="116" t="s">
        <v>95</v>
      </c>
      <c r="C54" s="117"/>
      <c r="D54" s="117"/>
      <c r="E54" s="117"/>
      <c r="F54" s="117"/>
      <c r="G54" s="117"/>
      <c r="H54" s="117">
        <f>H15+H20+H24+H36+H42+H53</f>
        <v>0</v>
      </c>
      <c r="I54" s="117">
        <f>ROUND(SUM(I46:I53),0)</f>
        <v>0</v>
      </c>
      <c r="J54" s="118" t="b">
        <f>I54=SUM(I53,I42,I36,I20,I15,I24)</f>
        <v>1</v>
      </c>
      <c r="K54" s="126"/>
      <c r="L54" s="12"/>
      <c r="M54" s="12"/>
      <c r="N54" s="12"/>
      <c r="O54" s="12"/>
      <c r="P54" s="12"/>
      <c r="Q54" s="12"/>
      <c r="R54" s="12"/>
      <c r="S54" s="12"/>
      <c r="T54" s="12"/>
      <c r="U54" s="12"/>
    </row>
    <row r="55" spans="1:159" ht="25.5" customHeight="1">
      <c r="B55" s="105" t="s">
        <v>96</v>
      </c>
      <c r="C55" s="62"/>
      <c r="D55" s="63"/>
      <c r="E55" s="63"/>
      <c r="F55" s="63"/>
      <c r="G55" s="63"/>
      <c r="H55" s="64"/>
      <c r="I55" s="62"/>
      <c r="J55" s="106"/>
      <c r="K55" s="126"/>
      <c r="L55" s="12"/>
      <c r="M55" s="12"/>
      <c r="N55" s="12"/>
      <c r="O55" s="12"/>
      <c r="P55" s="12"/>
      <c r="Q55" s="12"/>
      <c r="R55" s="12"/>
      <c r="S55" s="12"/>
      <c r="T55" s="12"/>
      <c r="U55" s="12"/>
    </row>
    <row r="56" spans="1:159" ht="24.95">
      <c r="B56" s="107" t="s">
        <v>97</v>
      </c>
      <c r="C56" s="62">
        <v>0</v>
      </c>
      <c r="D56" s="65"/>
      <c r="E56" s="63"/>
      <c r="F56" s="63"/>
      <c r="G56" s="63"/>
      <c r="H56" s="48">
        <f>ROUND(C56*D56,0)</f>
        <v>0</v>
      </c>
      <c r="I56" s="49">
        <f>H56</f>
        <v>0</v>
      </c>
      <c r="J56" s="98"/>
      <c r="K56" s="126"/>
      <c r="L56" s="12"/>
      <c r="M56" s="12"/>
      <c r="N56" s="12"/>
      <c r="O56" s="12"/>
      <c r="P56" s="12"/>
      <c r="Q56" s="12"/>
      <c r="R56" s="12"/>
      <c r="S56" s="12"/>
      <c r="T56" s="12"/>
      <c r="U56" s="12"/>
    </row>
    <row r="57" spans="1:159" ht="26.1">
      <c r="B57" s="99" t="s">
        <v>98</v>
      </c>
      <c r="C57" s="68"/>
      <c r="D57" s="68"/>
      <c r="E57" s="68"/>
      <c r="F57" s="68"/>
      <c r="G57" s="68"/>
      <c r="H57" s="68">
        <f>SUM(H56)</f>
        <v>0</v>
      </c>
      <c r="I57" s="68">
        <f>H57</f>
        <v>0</v>
      </c>
      <c r="J57" s="100" t="b">
        <f>I57=SUM(I56)</f>
        <v>1</v>
      </c>
      <c r="K57" s="126"/>
      <c r="L57" s="12"/>
      <c r="M57" s="12"/>
      <c r="N57" s="12"/>
      <c r="O57" s="12"/>
      <c r="P57" s="12"/>
      <c r="Q57" s="12"/>
      <c r="R57" s="12"/>
      <c r="S57" s="12"/>
      <c r="T57" s="12"/>
      <c r="U57" s="12"/>
    </row>
    <row r="58" spans="1:159">
      <c r="B58" s="95"/>
      <c r="C58" s="40"/>
      <c r="D58" s="41"/>
      <c r="E58" s="41"/>
      <c r="F58" s="41"/>
      <c r="G58" s="41"/>
      <c r="H58" s="42"/>
      <c r="I58" s="43"/>
      <c r="J58" s="89"/>
      <c r="K58" s="126"/>
      <c r="L58" s="12"/>
      <c r="M58" s="12"/>
      <c r="N58" s="12"/>
      <c r="O58" s="12"/>
      <c r="P58" s="12"/>
      <c r="Q58" s="12"/>
      <c r="R58" s="12"/>
      <c r="S58" s="12"/>
      <c r="T58" s="12"/>
      <c r="U58" s="12"/>
    </row>
    <row r="59" spans="1:159">
      <c r="B59" s="95"/>
      <c r="C59" s="40"/>
      <c r="D59" s="41"/>
      <c r="E59" s="41"/>
      <c r="F59" s="41"/>
      <c r="G59" s="41"/>
      <c r="H59" s="56"/>
      <c r="I59" s="52"/>
      <c r="J59" s="89"/>
      <c r="K59" s="126"/>
      <c r="L59" s="12"/>
      <c r="M59" s="12"/>
      <c r="N59" s="12"/>
      <c r="O59" s="12"/>
      <c r="P59" s="12"/>
      <c r="Q59" s="12"/>
      <c r="R59" s="12"/>
      <c r="S59" s="12"/>
      <c r="T59" s="12"/>
      <c r="U59" s="12"/>
    </row>
    <row r="60" spans="1:159" ht="31.5" thickBot="1">
      <c r="A60" s="14"/>
      <c r="B60" s="108" t="s">
        <v>99</v>
      </c>
      <c r="C60" s="109"/>
      <c r="D60" s="109"/>
      <c r="E60" s="109"/>
      <c r="F60" s="109"/>
      <c r="G60" s="109"/>
      <c r="H60" s="110">
        <f>ROUND(SUM(H57+H54),0)</f>
        <v>0</v>
      </c>
      <c r="I60" s="110">
        <f>ROUND(SUM(I57+I54),0)</f>
        <v>0</v>
      </c>
      <c r="J60" s="111" t="b">
        <f>I60=ROUND(H15,0)</f>
        <v>1</v>
      </c>
      <c r="K60" s="132" t="s">
        <v>100</v>
      </c>
      <c r="L60" s="12"/>
      <c r="M60" s="12"/>
      <c r="N60" s="12"/>
      <c r="O60" s="12"/>
      <c r="P60" s="12"/>
      <c r="Q60" s="12"/>
      <c r="R60" s="12"/>
      <c r="S60" s="12"/>
      <c r="T60" s="12"/>
      <c r="U60" s="12"/>
    </row>
    <row r="61" spans="1:159" s="22" customFormat="1">
      <c r="A61" s="14"/>
      <c r="B61" s="15"/>
      <c r="C61" s="16"/>
      <c r="D61" s="17"/>
      <c r="E61" s="18"/>
      <c r="F61" s="18"/>
      <c r="G61" s="18"/>
      <c r="H61" s="19"/>
      <c r="I61" s="20"/>
      <c r="J61" s="12"/>
      <c r="K61" s="126"/>
      <c r="L61" s="12"/>
      <c r="M61" s="12"/>
      <c r="N61" s="12"/>
      <c r="O61" s="12"/>
      <c r="P61" s="12"/>
      <c r="Q61" s="12"/>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row>
    <row r="62" spans="1:159">
      <c r="B62" s="23"/>
      <c r="C62" s="24"/>
      <c r="D62" s="25"/>
      <c r="E62" s="18"/>
      <c r="F62" s="18"/>
      <c r="G62" s="18"/>
      <c r="H62" s="19"/>
      <c r="I62" s="20"/>
      <c r="J62" s="12"/>
      <c r="K62" s="126"/>
      <c r="L62" s="12"/>
      <c r="M62" s="12"/>
      <c r="N62" s="12"/>
      <c r="O62" s="12"/>
      <c r="P62" s="12"/>
      <c r="Q62" s="12"/>
    </row>
    <row r="63" spans="1:159">
      <c r="B63" s="26"/>
      <c r="C63" s="27"/>
      <c r="D63" s="13"/>
      <c r="E63" s="13"/>
      <c r="F63" s="13"/>
      <c r="G63" s="13"/>
      <c r="H63" s="21"/>
      <c r="I63" s="20"/>
      <c r="J63" s="12"/>
      <c r="K63" s="126"/>
      <c r="L63" s="12"/>
      <c r="M63" s="12"/>
      <c r="N63" s="12"/>
      <c r="O63" s="12"/>
      <c r="P63" s="12"/>
      <c r="Q63" s="12"/>
    </row>
    <row r="64" spans="1:159" s="28" customFormat="1" ht="15.95" thickBot="1">
      <c r="A64" s="2"/>
      <c r="B64" s="26"/>
      <c r="C64" s="27"/>
      <c r="D64" s="13"/>
      <c r="E64" s="13"/>
      <c r="F64" s="13"/>
      <c r="G64" s="13"/>
      <c r="H64" s="21"/>
      <c r="I64" s="20"/>
      <c r="J64" s="12"/>
      <c r="K64" s="126"/>
      <c r="L64" s="12"/>
      <c r="M64" s="12"/>
      <c r="N64" s="12"/>
      <c r="O64" s="12"/>
      <c r="P64" s="12"/>
      <c r="Q64" s="1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row>
    <row r="65" spans="1:159" s="30" customFormat="1" ht="15.95" thickTop="1">
      <c r="A65" s="14"/>
      <c r="B65" s="26"/>
      <c r="C65" s="27" t="s">
        <v>101</v>
      </c>
      <c r="D65" s="13"/>
      <c r="E65" s="13"/>
      <c r="F65" s="13"/>
      <c r="G65" s="29"/>
      <c r="H65" s="21"/>
      <c r="I65" s="20"/>
      <c r="J65" s="12"/>
      <c r="K65" s="126"/>
      <c r="L65" s="12"/>
      <c r="M65" s="12"/>
      <c r="N65" s="12"/>
      <c r="O65" s="12"/>
      <c r="P65" s="12"/>
      <c r="Q65" s="12"/>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row>
    <row r="66" spans="1:159" s="31" customFormat="1">
      <c r="B66" s="32"/>
      <c r="C66" s="27"/>
      <c r="D66" s="13"/>
      <c r="E66" s="13"/>
      <c r="F66" s="13"/>
      <c r="G66" s="29"/>
      <c r="H66" s="21"/>
      <c r="I66" s="20"/>
      <c r="J66" s="33"/>
      <c r="K66" s="126"/>
      <c r="L66" s="12"/>
      <c r="M66" s="12"/>
      <c r="N66" s="12"/>
      <c r="O66" s="12"/>
      <c r="P66" s="12"/>
      <c r="Q66" s="12"/>
      <c r="R66" s="34"/>
    </row>
    <row r="67" spans="1:159" s="31" customFormat="1">
      <c r="B67" s="32"/>
      <c r="C67" s="35"/>
      <c r="D67" s="13"/>
      <c r="E67" s="13"/>
      <c r="F67" s="13"/>
      <c r="G67" s="29"/>
      <c r="H67" s="21"/>
      <c r="I67" s="20"/>
      <c r="J67" s="33"/>
      <c r="K67" s="126"/>
      <c r="L67" s="12"/>
      <c r="M67" s="12"/>
      <c r="N67" s="12"/>
      <c r="O67" s="12"/>
      <c r="P67" s="12"/>
      <c r="Q67" s="12"/>
      <c r="R67" s="36"/>
    </row>
    <row r="68" spans="1:159">
      <c r="B68" s="32"/>
      <c r="C68" s="35"/>
      <c r="D68" s="13"/>
      <c r="E68" s="13"/>
      <c r="F68" s="13"/>
      <c r="G68" s="29"/>
      <c r="H68" s="21"/>
      <c r="I68" s="37"/>
      <c r="J68" s="33"/>
    </row>
    <row r="69" spans="1:159">
      <c r="B69" s="32"/>
      <c r="C69" s="35"/>
      <c r="D69" s="13"/>
      <c r="E69" s="13"/>
      <c r="F69" s="13"/>
      <c r="G69" s="29"/>
      <c r="H69" s="21"/>
      <c r="I69" s="37"/>
      <c r="J69" s="33"/>
    </row>
    <row r="70" spans="1:159">
      <c r="B70" s="32"/>
      <c r="C70" s="35"/>
      <c r="D70" s="13"/>
      <c r="E70" s="13"/>
      <c r="F70" s="13"/>
      <c r="G70" s="29"/>
      <c r="H70" s="21"/>
      <c r="I70" s="37"/>
    </row>
    <row r="71" spans="1:159">
      <c r="B71" s="32"/>
      <c r="C71" s="35"/>
      <c r="D71" s="13"/>
      <c r="E71" s="13"/>
      <c r="F71" s="13"/>
      <c r="G71" s="29"/>
      <c r="H71" s="21"/>
      <c r="I71" s="37"/>
    </row>
    <row r="72" spans="1:159">
      <c r="B72" s="32"/>
      <c r="C72" s="35"/>
      <c r="D72" s="13"/>
      <c r="E72" s="13"/>
      <c r="F72" s="13"/>
      <c r="G72" s="13"/>
      <c r="H72" s="38"/>
      <c r="I72" s="37"/>
    </row>
    <row r="73" spans="1:159">
      <c r="B73" s="32"/>
      <c r="C73" s="35"/>
      <c r="D73" s="13"/>
      <c r="E73" s="13"/>
      <c r="F73" s="13"/>
      <c r="G73" s="13"/>
      <c r="H73" s="21"/>
      <c r="I73" s="37"/>
    </row>
    <row r="74" spans="1:159">
      <c r="B74" s="32"/>
      <c r="C74" s="35"/>
      <c r="D74" s="13"/>
      <c r="E74" s="13"/>
      <c r="F74" s="13"/>
      <c r="G74" s="13"/>
      <c r="H74" s="21"/>
      <c r="I74" s="37"/>
    </row>
    <row r="75" spans="1:159">
      <c r="B75" s="32"/>
      <c r="C75" s="35"/>
      <c r="D75" s="13"/>
      <c r="E75" s="13"/>
      <c r="F75" s="13"/>
      <c r="G75" s="13"/>
      <c r="H75" s="21"/>
      <c r="I75" s="37"/>
    </row>
    <row r="76" spans="1:159">
      <c r="B76" s="32"/>
      <c r="C76" s="35"/>
      <c r="D76" s="13"/>
      <c r="E76" s="13"/>
      <c r="F76" s="13"/>
      <c r="G76" s="13"/>
      <c r="H76" s="21"/>
      <c r="I76" s="37"/>
    </row>
    <row r="77" spans="1:159">
      <c r="B77" s="32"/>
      <c r="C77" s="35"/>
      <c r="D77" s="13"/>
      <c r="E77" s="13"/>
      <c r="F77" s="13"/>
      <c r="G77" s="13"/>
      <c r="H77" s="21"/>
      <c r="I77" s="37"/>
    </row>
    <row r="78" spans="1:159">
      <c r="B78" s="32"/>
      <c r="C78" s="35"/>
      <c r="D78" s="13"/>
      <c r="E78" s="13"/>
      <c r="F78" s="13"/>
      <c r="G78" s="23"/>
      <c r="H78" s="21"/>
      <c r="I78" s="37"/>
    </row>
    <row r="79" spans="1:159">
      <c r="B79" s="32"/>
      <c r="C79" s="35"/>
      <c r="D79" s="13"/>
      <c r="E79" s="13"/>
      <c r="F79" s="13"/>
      <c r="G79" s="26"/>
      <c r="H79" s="21"/>
      <c r="I79" s="37"/>
    </row>
    <row r="80" spans="1:159">
      <c r="B80" s="32"/>
      <c r="C80" s="35"/>
      <c r="D80" s="13"/>
      <c r="E80" s="13"/>
      <c r="F80" s="13"/>
      <c r="G80" s="26"/>
      <c r="H80" s="21"/>
      <c r="I80" s="37"/>
    </row>
    <row r="81" spans="2:9">
      <c r="B81" s="32"/>
      <c r="C81" s="35"/>
      <c r="D81" s="13"/>
      <c r="E81" s="13"/>
      <c r="F81" s="13"/>
      <c r="G81" s="13"/>
      <c r="H81" s="21"/>
      <c r="I81" s="37"/>
    </row>
    <row r="82" spans="2:9">
      <c r="B82" s="32"/>
      <c r="C82" s="35"/>
      <c r="D82" s="13"/>
      <c r="E82" s="13"/>
      <c r="F82" s="13"/>
      <c r="G82" s="13"/>
      <c r="H82" s="21"/>
      <c r="I82" s="37"/>
    </row>
    <row r="83" spans="2:9">
      <c r="B83" s="32"/>
      <c r="C83" s="35"/>
      <c r="D83" s="13"/>
      <c r="E83" s="13"/>
      <c r="F83" s="13"/>
      <c r="G83" s="13"/>
      <c r="H83" s="21"/>
      <c r="I83" s="37"/>
    </row>
    <row r="84" spans="2:9">
      <c r="B84" s="32"/>
      <c r="C84" s="35"/>
      <c r="D84" s="13"/>
      <c r="E84" s="13"/>
      <c r="F84" s="13"/>
      <c r="G84" s="13"/>
      <c r="H84" s="21"/>
      <c r="I84" s="37"/>
    </row>
    <row r="85" spans="2:9">
      <c r="B85" s="32"/>
      <c r="C85" s="35"/>
      <c r="D85" s="13"/>
      <c r="E85" s="13"/>
      <c r="F85" s="13"/>
      <c r="G85" s="13"/>
      <c r="H85" s="21"/>
      <c r="I85" s="37"/>
    </row>
    <row r="86" spans="2:9">
      <c r="B86" s="32"/>
      <c r="C86" s="35"/>
      <c r="D86" s="13"/>
      <c r="E86" s="13"/>
      <c r="F86" s="13"/>
      <c r="G86" s="13"/>
      <c r="H86" s="21"/>
      <c r="I86" s="37"/>
    </row>
    <row r="87" spans="2:9">
      <c r="B87" s="32"/>
      <c r="C87" s="35"/>
      <c r="D87" s="13"/>
      <c r="E87" s="13"/>
      <c r="F87" s="13"/>
      <c r="G87" s="13"/>
      <c r="H87" s="21"/>
      <c r="I87" s="37"/>
    </row>
    <row r="88" spans="2:9">
      <c r="B88" s="32"/>
      <c r="C88" s="35"/>
      <c r="D88" s="13"/>
      <c r="E88" s="13"/>
      <c r="F88" s="13"/>
      <c r="G88" s="13"/>
      <c r="H88" s="21"/>
      <c r="I88" s="37"/>
    </row>
    <row r="89" spans="2:9">
      <c r="B89" s="32"/>
      <c r="C89" s="35"/>
      <c r="D89" s="13"/>
      <c r="E89" s="13"/>
      <c r="F89" s="13"/>
      <c r="G89" s="13"/>
      <c r="H89" s="21"/>
      <c r="I89" s="37"/>
    </row>
    <row r="90" spans="2:9">
      <c r="B90" s="32"/>
      <c r="C90" s="35"/>
      <c r="D90" s="13"/>
      <c r="E90" s="13"/>
      <c r="F90" s="13"/>
      <c r="G90" s="13"/>
      <c r="H90" s="21"/>
      <c r="I90" s="37"/>
    </row>
    <row r="91" spans="2:9">
      <c r="B91" s="32"/>
      <c r="C91" s="35"/>
      <c r="D91" s="13"/>
      <c r="E91" s="13"/>
      <c r="F91" s="13"/>
      <c r="G91" s="13"/>
      <c r="H91" s="21"/>
      <c r="I91" s="37"/>
    </row>
    <row r="92" spans="2:9">
      <c r="B92" s="32"/>
      <c r="C92" s="35"/>
      <c r="D92" s="13"/>
      <c r="E92" s="13"/>
      <c r="F92" s="13"/>
      <c r="G92" s="13"/>
      <c r="H92" s="21"/>
      <c r="I92" s="37"/>
    </row>
    <row r="93" spans="2:9">
      <c r="B93" s="32"/>
      <c r="C93" s="35"/>
      <c r="D93" s="13"/>
      <c r="E93" s="13"/>
      <c r="F93" s="13"/>
      <c r="G93" s="13"/>
      <c r="H93" s="21"/>
      <c r="I93" s="37"/>
    </row>
    <row r="94" spans="2:9">
      <c r="B94" s="32"/>
      <c r="C94" s="35"/>
      <c r="D94" s="13"/>
      <c r="E94" s="13"/>
      <c r="F94" s="13"/>
      <c r="G94" s="13"/>
      <c r="H94" s="21"/>
      <c r="I94" s="37"/>
    </row>
    <row r="95" spans="2:9">
      <c r="B95" s="32"/>
      <c r="C95" s="35"/>
      <c r="D95" s="13"/>
      <c r="E95" s="13"/>
      <c r="F95" s="13"/>
      <c r="G95" s="13"/>
      <c r="H95" s="21"/>
      <c r="I95" s="37"/>
    </row>
    <row r="96" spans="2:9">
      <c r="B96" s="32"/>
      <c r="C96" s="35"/>
      <c r="D96" s="13"/>
      <c r="E96" s="13"/>
      <c r="F96" s="13"/>
      <c r="G96" s="13"/>
      <c r="H96" s="21"/>
      <c r="I96" s="37"/>
    </row>
    <row r="97" spans="2:9">
      <c r="B97" s="32"/>
      <c r="C97" s="35"/>
      <c r="D97" s="13"/>
      <c r="E97" s="13"/>
      <c r="F97" s="13"/>
      <c r="G97" s="13"/>
      <c r="H97" s="21"/>
      <c r="I97" s="37"/>
    </row>
    <row r="98" spans="2:9">
      <c r="B98" s="32"/>
      <c r="C98" s="35"/>
      <c r="D98" s="13"/>
      <c r="E98" s="13"/>
      <c r="F98" s="13"/>
      <c r="G98" s="13"/>
      <c r="H98" s="21"/>
      <c r="I98" s="37"/>
    </row>
    <row r="99" spans="2:9">
      <c r="B99" s="32"/>
      <c r="C99" s="35"/>
      <c r="D99" s="13"/>
      <c r="E99" s="13"/>
      <c r="F99" s="13"/>
      <c r="G99" s="13"/>
      <c r="H99" s="21"/>
      <c r="I99" s="37"/>
    </row>
    <row r="100" spans="2:9">
      <c r="B100" s="32"/>
      <c r="C100" s="35"/>
      <c r="D100" s="13"/>
      <c r="E100" s="13"/>
      <c r="F100" s="13"/>
      <c r="G100" s="13"/>
      <c r="H100" s="21"/>
      <c r="I100" s="37"/>
    </row>
    <row r="101" spans="2:9">
      <c r="B101" s="32"/>
      <c r="C101" s="35"/>
      <c r="D101" s="13"/>
      <c r="E101" s="13"/>
      <c r="F101" s="13"/>
      <c r="G101" s="13"/>
      <c r="H101" s="21"/>
      <c r="I101" s="37"/>
    </row>
    <row r="102" spans="2:9">
      <c r="B102" s="32"/>
      <c r="C102" s="35"/>
      <c r="D102" s="13"/>
      <c r="E102" s="13"/>
      <c r="F102" s="13"/>
      <c r="G102" s="13"/>
      <c r="H102" s="21"/>
      <c r="I102" s="37"/>
    </row>
    <row r="103" spans="2:9">
      <c r="B103" s="32"/>
      <c r="C103" s="35"/>
      <c r="D103" s="13"/>
      <c r="E103" s="13"/>
      <c r="F103" s="13"/>
      <c r="G103" s="13"/>
      <c r="H103" s="21"/>
      <c r="I103" s="37"/>
    </row>
    <row r="104" spans="2:9">
      <c r="B104" s="32"/>
      <c r="C104" s="35"/>
      <c r="D104" s="13"/>
      <c r="E104" s="13"/>
      <c r="F104" s="13"/>
      <c r="G104" s="13"/>
      <c r="H104" s="21"/>
      <c r="I104" s="37"/>
    </row>
    <row r="105" spans="2:9">
      <c r="B105" s="32"/>
      <c r="C105" s="35"/>
      <c r="D105" s="13"/>
      <c r="E105" s="13"/>
      <c r="F105" s="13"/>
      <c r="G105" s="13"/>
      <c r="H105" s="21"/>
      <c r="I105" s="37"/>
    </row>
    <row r="106" spans="2:9">
      <c r="B106" s="32"/>
      <c r="C106" s="35"/>
      <c r="D106" s="13"/>
      <c r="E106" s="13"/>
      <c r="F106" s="13"/>
      <c r="G106" s="13"/>
      <c r="H106" s="21"/>
      <c r="I106" s="37"/>
    </row>
    <row r="107" spans="2:9">
      <c r="B107" s="32"/>
      <c r="C107" s="35"/>
      <c r="D107" s="13"/>
      <c r="E107" s="13"/>
      <c r="F107" s="13"/>
      <c r="G107" s="13"/>
      <c r="H107" s="21"/>
      <c r="I107" s="37"/>
    </row>
    <row r="108" spans="2:9">
      <c r="B108" s="32"/>
      <c r="C108" s="35"/>
      <c r="D108" s="13"/>
      <c r="E108" s="13"/>
      <c r="F108" s="13"/>
      <c r="G108" s="13"/>
      <c r="H108" s="21"/>
      <c r="I108" s="37"/>
    </row>
    <row r="109" spans="2:9">
      <c r="B109" s="32"/>
      <c r="C109" s="35"/>
      <c r="D109" s="13"/>
      <c r="E109" s="13"/>
      <c r="F109" s="13"/>
      <c r="G109" s="13"/>
      <c r="H109" s="21"/>
      <c r="I109" s="37"/>
    </row>
    <row r="110" spans="2:9">
      <c r="B110" s="32"/>
      <c r="C110" s="35"/>
      <c r="D110" s="13"/>
      <c r="E110" s="13"/>
      <c r="F110" s="13"/>
      <c r="G110" s="13"/>
      <c r="H110" s="21"/>
      <c r="I110" s="37"/>
    </row>
    <row r="111" spans="2:9">
      <c r="B111" s="32"/>
      <c r="C111" s="35"/>
      <c r="D111" s="13"/>
      <c r="E111" s="13"/>
      <c r="F111" s="13"/>
      <c r="G111" s="13"/>
      <c r="H111" s="21"/>
      <c r="I111" s="37"/>
    </row>
    <row r="112" spans="2:9">
      <c r="B112" s="32"/>
      <c r="C112" s="35"/>
      <c r="D112" s="13"/>
      <c r="E112" s="13"/>
      <c r="F112" s="13"/>
      <c r="G112" s="13"/>
      <c r="H112" s="21"/>
      <c r="I112" s="37"/>
    </row>
    <row r="113" spans="2:9">
      <c r="B113" s="32"/>
      <c r="C113" s="35"/>
      <c r="D113" s="13"/>
      <c r="E113" s="13"/>
      <c r="F113" s="13"/>
      <c r="G113" s="13"/>
      <c r="H113" s="21"/>
      <c r="I113" s="37"/>
    </row>
    <row r="114" spans="2:9">
      <c r="B114" s="32"/>
      <c r="C114" s="35"/>
      <c r="D114" s="13"/>
      <c r="E114" s="13"/>
      <c r="F114" s="13"/>
      <c r="G114" s="13"/>
      <c r="H114" s="21"/>
      <c r="I114" s="37"/>
    </row>
    <row r="115" spans="2:9">
      <c r="B115" s="32"/>
      <c r="C115" s="35"/>
      <c r="D115" s="13"/>
      <c r="E115" s="13"/>
      <c r="F115" s="13"/>
      <c r="G115" s="13"/>
      <c r="H115" s="21"/>
      <c r="I115" s="37"/>
    </row>
    <row r="116" spans="2:9">
      <c r="B116" s="32"/>
      <c r="C116" s="35"/>
      <c r="D116" s="13"/>
      <c r="E116" s="13"/>
      <c r="F116" s="13"/>
      <c r="G116" s="13"/>
      <c r="H116" s="21"/>
      <c r="I116" s="37"/>
    </row>
    <row r="117" spans="2:9">
      <c r="B117" s="32"/>
      <c r="C117" s="35"/>
      <c r="D117" s="13"/>
      <c r="E117" s="13"/>
      <c r="F117" s="13"/>
      <c r="G117" s="13"/>
      <c r="H117" s="21"/>
      <c r="I117" s="37"/>
    </row>
    <row r="118" spans="2:9">
      <c r="B118" s="32"/>
      <c r="C118" s="35"/>
      <c r="D118" s="13"/>
      <c r="E118" s="13"/>
      <c r="F118" s="13"/>
      <c r="G118" s="13"/>
      <c r="H118" s="21"/>
      <c r="I118" s="37"/>
    </row>
    <row r="119" spans="2:9">
      <c r="B119" s="32"/>
      <c r="C119" s="35"/>
      <c r="D119" s="13"/>
      <c r="E119" s="13"/>
      <c r="F119" s="13"/>
      <c r="G119" s="13"/>
      <c r="H119" s="21"/>
      <c r="I119" s="37"/>
    </row>
    <row r="120" spans="2:9">
      <c r="B120" s="32"/>
      <c r="C120" s="35"/>
      <c r="D120" s="13"/>
      <c r="E120" s="13"/>
      <c r="F120" s="13"/>
      <c r="G120" s="13"/>
      <c r="H120" s="21"/>
      <c r="I120" s="37"/>
    </row>
    <row r="121" spans="2:9">
      <c r="B121" s="32"/>
      <c r="C121" s="35"/>
      <c r="D121" s="13"/>
      <c r="E121" s="13"/>
      <c r="F121" s="13"/>
      <c r="G121" s="13"/>
      <c r="H121" s="21"/>
      <c r="I121" s="37"/>
    </row>
    <row r="122" spans="2:9">
      <c r="B122" s="32"/>
      <c r="C122" s="35"/>
      <c r="D122" s="13"/>
      <c r="E122" s="13"/>
      <c r="F122" s="13"/>
      <c r="G122" s="13"/>
      <c r="H122" s="21"/>
      <c r="I122" s="37"/>
    </row>
    <row r="123" spans="2:9">
      <c r="B123" s="32"/>
      <c r="C123" s="35"/>
      <c r="D123" s="13"/>
      <c r="E123" s="13"/>
      <c r="F123" s="13"/>
      <c r="G123" s="13"/>
      <c r="H123" s="21"/>
      <c r="I123" s="37"/>
    </row>
    <row r="124" spans="2:9">
      <c r="B124" s="32"/>
      <c r="C124" s="35"/>
      <c r="D124" s="13"/>
      <c r="E124" s="13"/>
      <c r="F124" s="13"/>
      <c r="G124" s="13"/>
      <c r="H124" s="21"/>
      <c r="I124" s="37"/>
    </row>
    <row r="125" spans="2:9">
      <c r="B125" s="32"/>
      <c r="C125" s="35"/>
      <c r="D125" s="13"/>
      <c r="E125" s="13"/>
      <c r="F125" s="13"/>
      <c r="G125" s="13"/>
      <c r="H125" s="21"/>
      <c r="I125" s="37"/>
    </row>
    <row r="126" spans="2:9">
      <c r="B126" s="32"/>
      <c r="C126" s="35"/>
      <c r="D126" s="13"/>
      <c r="E126" s="13"/>
      <c r="F126" s="13"/>
      <c r="G126" s="13"/>
      <c r="H126" s="21"/>
      <c r="I126" s="37"/>
    </row>
    <row r="127" spans="2:9">
      <c r="B127" s="32"/>
      <c r="C127" s="35"/>
      <c r="D127" s="13"/>
      <c r="E127" s="13"/>
      <c r="F127" s="13"/>
      <c r="G127" s="13"/>
      <c r="H127" s="21"/>
      <c r="I127" s="37"/>
    </row>
    <row r="128" spans="2:9">
      <c r="B128" s="32"/>
      <c r="C128" s="35"/>
      <c r="D128" s="13"/>
      <c r="E128" s="13"/>
      <c r="F128" s="13"/>
      <c r="G128" s="13"/>
      <c r="H128" s="21"/>
      <c r="I128" s="37"/>
    </row>
    <row r="129" spans="2:9">
      <c r="B129" s="32"/>
      <c r="C129" s="35"/>
      <c r="D129" s="13"/>
      <c r="E129" s="13"/>
      <c r="F129" s="13"/>
      <c r="G129" s="13"/>
      <c r="H129" s="21"/>
      <c r="I129" s="37"/>
    </row>
    <row r="130" spans="2:9">
      <c r="B130" s="32"/>
      <c r="C130" s="35"/>
      <c r="D130" s="13"/>
      <c r="E130" s="13"/>
      <c r="F130" s="13"/>
      <c r="G130" s="13"/>
      <c r="H130" s="21"/>
      <c r="I130" s="37"/>
    </row>
    <row r="131" spans="2:9">
      <c r="B131" s="32"/>
      <c r="C131" s="35"/>
      <c r="D131" s="13"/>
      <c r="E131" s="13"/>
      <c r="F131" s="13"/>
      <c r="G131" s="13"/>
      <c r="H131" s="21"/>
      <c r="I131" s="37"/>
    </row>
    <row r="132" spans="2:9">
      <c r="B132" s="32"/>
      <c r="C132" s="35"/>
      <c r="D132" s="13"/>
      <c r="E132" s="13"/>
      <c r="F132" s="13"/>
      <c r="G132" s="13"/>
      <c r="H132" s="21"/>
      <c r="I132" s="37"/>
    </row>
    <row r="133" spans="2:9">
      <c r="B133" s="32"/>
      <c r="C133" s="35"/>
      <c r="D133" s="13"/>
      <c r="E133" s="13"/>
      <c r="F133" s="13"/>
      <c r="G133" s="13"/>
      <c r="H133" s="21"/>
      <c r="I133" s="37"/>
    </row>
    <row r="134" spans="2:9">
      <c r="B134" s="32"/>
      <c r="C134" s="35"/>
      <c r="D134" s="13"/>
      <c r="E134" s="13"/>
      <c r="F134" s="13"/>
      <c r="G134" s="13"/>
      <c r="H134" s="21"/>
      <c r="I134" s="37"/>
    </row>
    <row r="135" spans="2:9">
      <c r="B135" s="32"/>
      <c r="C135" s="35"/>
      <c r="D135" s="13"/>
      <c r="E135" s="13"/>
      <c r="F135" s="13"/>
      <c r="G135" s="13"/>
      <c r="H135" s="21"/>
      <c r="I135" s="37"/>
    </row>
    <row r="136" spans="2:9">
      <c r="B136" s="32"/>
      <c r="C136" s="35"/>
      <c r="D136" s="13"/>
      <c r="E136" s="13"/>
      <c r="F136" s="13"/>
      <c r="G136" s="13"/>
      <c r="H136" s="21"/>
      <c r="I136" s="37"/>
    </row>
    <row r="137" spans="2:9">
      <c r="B137" s="32"/>
      <c r="C137" s="35"/>
      <c r="D137" s="13"/>
      <c r="E137" s="13"/>
      <c r="F137" s="13"/>
      <c r="G137" s="13"/>
      <c r="H137" s="21"/>
      <c r="I137" s="37"/>
    </row>
    <row r="138" spans="2:9">
      <c r="B138" s="32"/>
      <c r="C138" s="35"/>
      <c r="D138" s="13"/>
      <c r="E138" s="13"/>
      <c r="F138" s="13"/>
      <c r="G138" s="13"/>
      <c r="H138" s="21"/>
      <c r="I138" s="37"/>
    </row>
    <row r="139" spans="2:9">
      <c r="B139" s="32"/>
      <c r="C139" s="35"/>
      <c r="D139" s="13"/>
      <c r="E139" s="13"/>
      <c r="F139" s="13"/>
      <c r="G139" s="13"/>
      <c r="H139" s="21"/>
      <c r="I139" s="37"/>
    </row>
    <row r="140" spans="2:9">
      <c r="B140" s="32"/>
      <c r="C140" s="35"/>
      <c r="D140" s="13"/>
      <c r="E140" s="13"/>
      <c r="F140" s="13"/>
      <c r="G140" s="13"/>
      <c r="H140" s="21"/>
      <c r="I140" s="37"/>
    </row>
    <row r="141" spans="2:9">
      <c r="B141" s="32"/>
      <c r="C141" s="35"/>
      <c r="D141" s="13"/>
      <c r="E141" s="13"/>
      <c r="F141" s="13"/>
      <c r="G141" s="13"/>
      <c r="H141" s="21"/>
      <c r="I141" s="37"/>
    </row>
    <row r="142" spans="2:9">
      <c r="B142" s="32"/>
      <c r="C142" s="35"/>
      <c r="D142" s="13"/>
      <c r="E142" s="13"/>
      <c r="F142" s="13"/>
      <c r="G142" s="13"/>
      <c r="H142" s="21"/>
      <c r="I142" s="37"/>
    </row>
    <row r="143" spans="2:9">
      <c r="B143" s="32"/>
      <c r="C143" s="35"/>
      <c r="D143" s="13"/>
      <c r="E143" s="13"/>
      <c r="F143" s="13"/>
      <c r="G143" s="13"/>
      <c r="H143" s="21"/>
      <c r="I143" s="37"/>
    </row>
    <row r="144" spans="2:9">
      <c r="B144" s="32"/>
      <c r="C144" s="35"/>
      <c r="D144" s="13"/>
      <c r="E144" s="13"/>
      <c r="F144" s="13"/>
      <c r="G144" s="13"/>
      <c r="H144" s="21"/>
      <c r="I144" s="37"/>
    </row>
    <row r="145" spans="2:9">
      <c r="B145" s="32"/>
      <c r="C145" s="35"/>
      <c r="D145" s="13"/>
      <c r="E145" s="13"/>
      <c r="F145" s="13"/>
      <c r="G145" s="13"/>
      <c r="H145" s="21"/>
      <c r="I145" s="37"/>
    </row>
    <row r="146" spans="2:9">
      <c r="B146" s="32"/>
      <c r="C146" s="35"/>
      <c r="D146" s="13"/>
      <c r="E146" s="13"/>
      <c r="F146" s="13"/>
      <c r="G146" s="13"/>
      <c r="H146" s="21"/>
      <c r="I146" s="37"/>
    </row>
    <row r="147" spans="2:9">
      <c r="B147" s="32"/>
      <c r="C147" s="35"/>
      <c r="D147" s="13"/>
      <c r="E147" s="13"/>
      <c r="F147" s="13"/>
      <c r="G147" s="13"/>
      <c r="H147" s="21"/>
      <c r="I147" s="37"/>
    </row>
    <row r="148" spans="2:9">
      <c r="B148" s="32"/>
      <c r="C148" s="35"/>
      <c r="D148" s="13"/>
      <c r="E148" s="13"/>
      <c r="F148" s="13"/>
      <c r="G148" s="13"/>
      <c r="H148" s="21"/>
      <c r="I148" s="37"/>
    </row>
    <row r="149" spans="2:9">
      <c r="B149" s="32"/>
      <c r="C149" s="35"/>
      <c r="D149" s="13"/>
      <c r="E149" s="13"/>
      <c r="F149" s="13"/>
      <c r="G149" s="13"/>
      <c r="H149" s="21"/>
      <c r="I149" s="37"/>
    </row>
    <row r="150" spans="2:9">
      <c r="B150" s="32"/>
      <c r="C150" s="35"/>
      <c r="D150" s="13"/>
      <c r="E150" s="13"/>
      <c r="F150" s="13"/>
      <c r="G150" s="13"/>
      <c r="H150" s="21"/>
      <c r="I150" s="37"/>
    </row>
    <row r="151" spans="2:9">
      <c r="B151" s="32"/>
      <c r="C151" s="35"/>
      <c r="D151" s="13"/>
      <c r="E151" s="13"/>
      <c r="F151" s="13"/>
      <c r="G151" s="13"/>
      <c r="H151" s="21"/>
      <c r="I151" s="37"/>
    </row>
    <row r="152" spans="2:9">
      <c r="B152" s="32"/>
      <c r="C152" s="35"/>
      <c r="D152" s="13"/>
      <c r="E152" s="13"/>
      <c r="F152" s="13"/>
      <c r="G152" s="13"/>
      <c r="H152" s="21"/>
      <c r="I152" s="37"/>
    </row>
    <row r="153" spans="2:9">
      <c r="B153" s="32"/>
      <c r="C153" s="35"/>
      <c r="D153" s="13"/>
      <c r="E153" s="13"/>
      <c r="F153" s="13"/>
      <c r="G153" s="13"/>
      <c r="H153" s="21"/>
      <c r="I153" s="37"/>
    </row>
    <row r="154" spans="2:9">
      <c r="B154" s="32"/>
      <c r="C154" s="35"/>
      <c r="D154" s="13"/>
      <c r="E154" s="13"/>
      <c r="F154" s="13"/>
      <c r="G154" s="13"/>
      <c r="H154" s="21"/>
      <c r="I154" s="37"/>
    </row>
    <row r="155" spans="2:9">
      <c r="B155" s="32"/>
      <c r="C155" s="35"/>
      <c r="D155" s="13"/>
      <c r="E155" s="13"/>
      <c r="F155" s="13"/>
      <c r="G155" s="13"/>
      <c r="H155" s="21"/>
      <c r="I155" s="37"/>
    </row>
    <row r="156" spans="2:9">
      <c r="B156" s="32"/>
      <c r="C156" s="35"/>
      <c r="D156" s="13"/>
      <c r="E156" s="13"/>
      <c r="F156" s="13"/>
      <c r="G156" s="13"/>
      <c r="H156" s="21"/>
      <c r="I156" s="37"/>
    </row>
    <row r="157" spans="2:9">
      <c r="B157" s="32"/>
      <c r="C157" s="35"/>
      <c r="D157" s="13"/>
      <c r="E157" s="13"/>
      <c r="F157" s="13"/>
      <c r="G157" s="13"/>
      <c r="H157" s="21"/>
      <c r="I157" s="37"/>
    </row>
    <row r="158" spans="2:9">
      <c r="B158" s="32"/>
      <c r="C158" s="35"/>
      <c r="D158" s="13"/>
      <c r="E158" s="13"/>
      <c r="F158" s="13"/>
      <c r="G158" s="13"/>
      <c r="H158" s="21"/>
      <c r="I158" s="37"/>
    </row>
    <row r="159" spans="2:9">
      <c r="B159" s="32"/>
      <c r="C159" s="35"/>
      <c r="D159" s="13"/>
      <c r="E159" s="13"/>
      <c r="F159" s="13"/>
      <c r="G159" s="13"/>
      <c r="H159" s="21"/>
      <c r="I159" s="37"/>
    </row>
    <row r="160" spans="2:9">
      <c r="B160" s="32"/>
      <c r="C160" s="35"/>
      <c r="D160" s="13"/>
      <c r="E160" s="13"/>
      <c r="F160" s="13"/>
      <c r="G160" s="13"/>
      <c r="H160" s="21"/>
      <c r="I160" s="37"/>
    </row>
    <row r="161" spans="2:9">
      <c r="B161" s="32"/>
      <c r="C161" s="35"/>
      <c r="D161" s="13"/>
      <c r="E161" s="13"/>
      <c r="F161" s="13"/>
      <c r="G161" s="13"/>
      <c r="H161" s="21"/>
      <c r="I161" s="37"/>
    </row>
    <row r="162" spans="2:9">
      <c r="B162" s="32"/>
      <c r="C162" s="35"/>
      <c r="D162" s="13"/>
      <c r="E162" s="13"/>
      <c r="F162" s="13"/>
      <c r="G162" s="13"/>
      <c r="H162" s="21"/>
      <c r="I162" s="37"/>
    </row>
    <row r="163" spans="2:9">
      <c r="B163" s="32"/>
      <c r="C163" s="35"/>
      <c r="D163" s="13"/>
      <c r="E163" s="13"/>
      <c r="F163" s="13"/>
      <c r="G163" s="13"/>
      <c r="H163" s="21"/>
      <c r="I163" s="37"/>
    </row>
    <row r="164" spans="2:9">
      <c r="B164" s="32"/>
      <c r="C164" s="35"/>
      <c r="D164" s="13"/>
      <c r="E164" s="13"/>
      <c r="F164" s="13"/>
      <c r="G164" s="13"/>
      <c r="H164" s="21"/>
      <c r="I164" s="37"/>
    </row>
    <row r="165" spans="2:9">
      <c r="B165" s="32"/>
      <c r="C165" s="35"/>
      <c r="D165" s="13"/>
      <c r="E165" s="13"/>
      <c r="F165" s="13"/>
      <c r="G165" s="13"/>
      <c r="H165" s="21"/>
      <c r="I165" s="37"/>
    </row>
    <row r="166" spans="2:9">
      <c r="B166" s="32"/>
      <c r="C166" s="35"/>
      <c r="D166" s="13"/>
      <c r="E166" s="13"/>
      <c r="F166" s="13"/>
      <c r="G166" s="13"/>
      <c r="H166" s="21"/>
      <c r="I166" s="37"/>
    </row>
    <row r="167" spans="2:9">
      <c r="B167" s="32"/>
      <c r="C167" s="35"/>
      <c r="D167" s="13"/>
      <c r="E167" s="13"/>
      <c r="F167" s="13"/>
      <c r="G167" s="13"/>
      <c r="H167" s="21"/>
      <c r="I167" s="37"/>
    </row>
    <row r="168" spans="2:9">
      <c r="B168" s="32"/>
      <c r="C168" s="35"/>
      <c r="D168" s="13"/>
      <c r="E168" s="13"/>
      <c r="F168" s="13"/>
      <c r="G168" s="13"/>
      <c r="H168" s="21"/>
      <c r="I168" s="37"/>
    </row>
    <row r="169" spans="2:9">
      <c r="B169" s="32"/>
      <c r="C169" s="35"/>
      <c r="D169" s="13"/>
      <c r="E169" s="13"/>
      <c r="F169" s="13"/>
      <c r="G169" s="13"/>
      <c r="H169" s="21"/>
      <c r="I169" s="37"/>
    </row>
    <row r="170" spans="2:9">
      <c r="H170" s="5"/>
    </row>
    <row r="171" spans="2:9">
      <c r="H171" s="5"/>
    </row>
    <row r="172" spans="2:9">
      <c r="H172" s="5"/>
    </row>
    <row r="173" spans="2:9">
      <c r="H173" s="5"/>
    </row>
    <row r="174" spans="2:9">
      <c r="H174" s="5"/>
    </row>
    <row r="175" spans="2:9">
      <c r="H175" s="5"/>
    </row>
    <row r="176" spans="2:9">
      <c r="H176" s="5"/>
    </row>
    <row r="177" spans="8:8">
      <c r="H177" s="5"/>
    </row>
    <row r="178" spans="8:8">
      <c r="H178" s="5"/>
    </row>
    <row r="179" spans="8:8">
      <c r="H179" s="5"/>
    </row>
    <row r="180" spans="8:8">
      <c r="H180" s="5"/>
    </row>
    <row r="181" spans="8:8">
      <c r="H181" s="5"/>
    </row>
    <row r="182" spans="8:8">
      <c r="H182" s="5"/>
    </row>
    <row r="183" spans="8:8">
      <c r="H183" s="5"/>
    </row>
    <row r="184" spans="8:8">
      <c r="H184" s="5"/>
    </row>
    <row r="185" spans="8:8">
      <c r="H185" s="5"/>
    </row>
    <row r="186" spans="8:8">
      <c r="H186" s="5"/>
    </row>
    <row r="187" spans="8:8">
      <c r="H187" s="5"/>
    </row>
    <row r="188" spans="8:8">
      <c r="H188" s="5"/>
    </row>
    <row r="189" spans="8:8">
      <c r="H189" s="5"/>
    </row>
    <row r="190" spans="8:8">
      <c r="H190" s="5"/>
    </row>
    <row r="191" spans="8:8">
      <c r="H191" s="5"/>
    </row>
    <row r="192" spans="8:8">
      <c r="H192" s="5"/>
    </row>
    <row r="193" spans="8:8">
      <c r="H193" s="5"/>
    </row>
    <row r="194" spans="8:8">
      <c r="H194" s="5"/>
    </row>
    <row r="195" spans="8:8">
      <c r="H195" s="5"/>
    </row>
    <row r="196" spans="8:8">
      <c r="H196" s="5"/>
    </row>
    <row r="197" spans="8:8">
      <c r="H197" s="5"/>
    </row>
    <row r="198" spans="8:8">
      <c r="H198" s="5"/>
    </row>
    <row r="199" spans="8:8">
      <c r="H199" s="5"/>
    </row>
    <row r="200" spans="8:8">
      <c r="H200" s="5"/>
    </row>
    <row r="201" spans="8:8">
      <c r="H201" s="5"/>
    </row>
    <row r="202" spans="8:8">
      <c r="H202" s="5"/>
    </row>
    <row r="203" spans="8:8">
      <c r="H203" s="5"/>
    </row>
    <row r="204" spans="8:8">
      <c r="H204" s="5"/>
    </row>
    <row r="205" spans="8:8">
      <c r="H205" s="5"/>
    </row>
    <row r="206" spans="8:8">
      <c r="H206" s="5"/>
    </row>
    <row r="207" spans="8:8">
      <c r="H207" s="5"/>
    </row>
    <row r="208" spans="8:8">
      <c r="H208" s="5"/>
    </row>
    <row r="209" spans="8:8">
      <c r="H209" s="5"/>
    </row>
    <row r="210" spans="8:8">
      <c r="H210" s="5"/>
    </row>
    <row r="211" spans="8:8">
      <c r="H211" s="5"/>
    </row>
    <row r="212" spans="8:8">
      <c r="H212" s="5"/>
    </row>
    <row r="213" spans="8:8">
      <c r="H213" s="5"/>
    </row>
    <row r="214" spans="8:8">
      <c r="H214" s="5"/>
    </row>
    <row r="215" spans="8:8">
      <c r="H215" s="5"/>
    </row>
    <row r="216" spans="8:8">
      <c r="H216" s="5"/>
    </row>
    <row r="217" spans="8:8">
      <c r="H217" s="5"/>
    </row>
    <row r="218" spans="8:8">
      <c r="H218" s="5"/>
    </row>
    <row r="219" spans="8:8">
      <c r="H219" s="5"/>
    </row>
    <row r="220" spans="8:8">
      <c r="H220" s="5"/>
    </row>
    <row r="221" spans="8:8">
      <c r="H221" s="5"/>
    </row>
    <row r="222" spans="8:8">
      <c r="H222" s="5"/>
    </row>
    <row r="223" spans="8:8">
      <c r="H223" s="5"/>
    </row>
    <row r="224" spans="8:8">
      <c r="H224" s="5"/>
    </row>
    <row r="225" spans="8:8">
      <c r="H225" s="5"/>
    </row>
    <row r="226" spans="8:8">
      <c r="H226" s="5"/>
    </row>
    <row r="227" spans="8:8">
      <c r="H227" s="5"/>
    </row>
    <row r="228" spans="8:8">
      <c r="H228" s="5"/>
    </row>
    <row r="229" spans="8:8">
      <c r="H229" s="5"/>
    </row>
    <row r="230" spans="8:8">
      <c r="H230" s="5"/>
    </row>
    <row r="231" spans="8:8">
      <c r="H231" s="5"/>
    </row>
    <row r="232" spans="8:8">
      <c r="H232" s="5"/>
    </row>
    <row r="233" spans="8:8">
      <c r="H233" s="5"/>
    </row>
    <row r="234" spans="8:8">
      <c r="H234" s="5"/>
    </row>
    <row r="235" spans="8:8">
      <c r="H235" s="5"/>
    </row>
    <row r="236" spans="8:8">
      <c r="H236" s="5"/>
    </row>
    <row r="237" spans="8:8">
      <c r="H237" s="5"/>
    </row>
    <row r="238" spans="8:8">
      <c r="H238" s="5"/>
    </row>
    <row r="239" spans="8:8">
      <c r="H239" s="5"/>
    </row>
    <row r="240" spans="8:8">
      <c r="H240" s="5"/>
    </row>
    <row r="241" spans="8:8">
      <c r="H241" s="5"/>
    </row>
    <row r="242" spans="8:8">
      <c r="H242" s="5"/>
    </row>
    <row r="243" spans="8:8">
      <c r="H243" s="5"/>
    </row>
    <row r="244" spans="8:8">
      <c r="H244" s="5"/>
    </row>
    <row r="245" spans="8:8">
      <c r="H245" s="5"/>
    </row>
    <row r="246" spans="8:8">
      <c r="H246" s="5"/>
    </row>
    <row r="247" spans="8:8">
      <c r="H247" s="5"/>
    </row>
    <row r="248" spans="8:8">
      <c r="H248" s="5"/>
    </row>
    <row r="249" spans="8:8">
      <c r="H249" s="5"/>
    </row>
    <row r="250" spans="8:8">
      <c r="H250" s="5"/>
    </row>
    <row r="251" spans="8:8">
      <c r="H251" s="5"/>
    </row>
    <row r="252" spans="8:8">
      <c r="H252" s="5"/>
    </row>
    <row r="253" spans="8:8">
      <c r="H253" s="5"/>
    </row>
    <row r="254" spans="8:8">
      <c r="H254" s="5"/>
    </row>
    <row r="255" spans="8:8">
      <c r="H255" s="5"/>
    </row>
    <row r="256" spans="8:8">
      <c r="H256" s="5"/>
    </row>
    <row r="257" spans="8:8">
      <c r="H257" s="5"/>
    </row>
    <row r="258" spans="8:8">
      <c r="H258" s="5"/>
    </row>
    <row r="259" spans="8:8">
      <c r="H259" s="5"/>
    </row>
    <row r="260" spans="8:8">
      <c r="H260" s="5"/>
    </row>
    <row r="261" spans="8:8">
      <c r="H261" s="5"/>
    </row>
    <row r="262" spans="8:8">
      <c r="H262" s="5"/>
    </row>
    <row r="263" spans="8:8">
      <c r="H263" s="5"/>
    </row>
    <row r="264" spans="8:8">
      <c r="H264" s="5"/>
    </row>
    <row r="265" spans="8:8">
      <c r="H265" s="5"/>
    </row>
    <row r="266" spans="8:8">
      <c r="H266" s="5"/>
    </row>
    <row r="267" spans="8:8">
      <c r="H267" s="5"/>
    </row>
    <row r="268" spans="8:8">
      <c r="H268" s="5"/>
    </row>
    <row r="269" spans="8:8">
      <c r="H269" s="5"/>
    </row>
    <row r="270" spans="8:8">
      <c r="H270" s="5"/>
    </row>
    <row r="271" spans="8:8">
      <c r="H271" s="5"/>
    </row>
    <row r="272" spans="8:8">
      <c r="H272" s="5"/>
    </row>
    <row r="273" spans="8:8">
      <c r="H273" s="5"/>
    </row>
    <row r="274" spans="8:8">
      <c r="H274" s="5"/>
    </row>
    <row r="275" spans="8:8">
      <c r="H275" s="5"/>
    </row>
    <row r="276" spans="8:8">
      <c r="H276" s="5"/>
    </row>
    <row r="277" spans="8:8">
      <c r="H277" s="5"/>
    </row>
    <row r="278" spans="8:8">
      <c r="H278" s="5"/>
    </row>
    <row r="279" spans="8:8">
      <c r="H279" s="5"/>
    </row>
    <row r="280" spans="8:8">
      <c r="H280" s="5"/>
    </row>
    <row r="281" spans="8:8">
      <c r="H281" s="5"/>
    </row>
    <row r="282" spans="8:8">
      <c r="H282" s="5"/>
    </row>
    <row r="283" spans="8:8">
      <c r="H283" s="5"/>
    </row>
    <row r="284" spans="8:8">
      <c r="H284" s="5"/>
    </row>
    <row r="285" spans="8:8">
      <c r="H285" s="5"/>
    </row>
    <row r="286" spans="8:8">
      <c r="H286" s="5"/>
    </row>
    <row r="287" spans="8:8">
      <c r="H287" s="5"/>
    </row>
    <row r="288" spans="8:8">
      <c r="H288" s="5"/>
    </row>
    <row r="289" spans="8:8">
      <c r="H289" s="5"/>
    </row>
    <row r="290" spans="8:8">
      <c r="H290" s="5"/>
    </row>
    <row r="291" spans="8:8">
      <c r="H291" s="5"/>
    </row>
    <row r="292" spans="8:8">
      <c r="H292" s="5"/>
    </row>
    <row r="293" spans="8:8">
      <c r="H293" s="5"/>
    </row>
    <row r="294" spans="8:8">
      <c r="H294" s="5"/>
    </row>
    <row r="295" spans="8:8">
      <c r="H295" s="5"/>
    </row>
    <row r="296" spans="8:8">
      <c r="H296" s="5"/>
    </row>
    <row r="297" spans="8:8">
      <c r="H297" s="5"/>
    </row>
    <row r="298" spans="8:8">
      <c r="H298" s="5"/>
    </row>
    <row r="299" spans="8:8">
      <c r="H299" s="5"/>
    </row>
    <row r="300" spans="8:8">
      <c r="H300" s="5"/>
    </row>
    <row r="301" spans="8:8">
      <c r="H301" s="5"/>
    </row>
    <row r="302" spans="8:8">
      <c r="H302" s="5"/>
    </row>
    <row r="303" spans="8:8">
      <c r="H303" s="5"/>
    </row>
    <row r="304" spans="8:8">
      <c r="H304" s="5"/>
    </row>
    <row r="305" spans="8:8">
      <c r="H305" s="5"/>
    </row>
    <row r="306" spans="8:8">
      <c r="H306" s="5"/>
    </row>
    <row r="307" spans="8:8">
      <c r="H307" s="5"/>
    </row>
    <row r="308" spans="8:8">
      <c r="H308" s="5"/>
    </row>
    <row r="309" spans="8:8">
      <c r="H309" s="5"/>
    </row>
    <row r="310" spans="8:8">
      <c r="H310" s="5"/>
    </row>
    <row r="311" spans="8:8">
      <c r="H311" s="5"/>
    </row>
    <row r="312" spans="8:8">
      <c r="H312" s="5"/>
    </row>
    <row r="313" spans="8:8">
      <c r="H313" s="5"/>
    </row>
    <row r="314" spans="8:8">
      <c r="H314" s="5"/>
    </row>
    <row r="315" spans="8:8">
      <c r="H315" s="5"/>
    </row>
    <row r="316" spans="8:8">
      <c r="H316" s="5"/>
    </row>
    <row r="317" spans="8:8">
      <c r="H317" s="5"/>
    </row>
    <row r="318" spans="8:8">
      <c r="H318" s="5"/>
    </row>
    <row r="319" spans="8:8">
      <c r="H319" s="5"/>
    </row>
    <row r="320" spans="8:8">
      <c r="H320" s="5"/>
    </row>
    <row r="321" spans="8:8">
      <c r="H321" s="5"/>
    </row>
    <row r="322" spans="8:8">
      <c r="H322" s="5"/>
    </row>
    <row r="323" spans="8:8">
      <c r="H323" s="5"/>
    </row>
    <row r="324" spans="8:8">
      <c r="H324" s="5"/>
    </row>
    <row r="325" spans="8:8">
      <c r="H325" s="5"/>
    </row>
    <row r="326" spans="8:8">
      <c r="H326" s="5"/>
    </row>
    <row r="327" spans="8:8">
      <c r="H327" s="5"/>
    </row>
    <row r="328" spans="8:8">
      <c r="H328" s="5"/>
    </row>
    <row r="329" spans="8:8">
      <c r="H329" s="5"/>
    </row>
    <row r="330" spans="8:8">
      <c r="H330" s="5"/>
    </row>
    <row r="331" spans="8:8">
      <c r="H331" s="5"/>
    </row>
    <row r="332" spans="8:8">
      <c r="H332" s="5"/>
    </row>
    <row r="333" spans="8:8">
      <c r="H333" s="5"/>
    </row>
    <row r="334" spans="8:8">
      <c r="H334" s="5"/>
    </row>
    <row r="335" spans="8:8">
      <c r="H335" s="5"/>
    </row>
    <row r="336" spans="8:8">
      <c r="H336" s="5"/>
    </row>
    <row r="337" spans="8:8">
      <c r="H337" s="5"/>
    </row>
    <row r="338" spans="8:8">
      <c r="H338" s="5"/>
    </row>
    <row r="339" spans="8:8">
      <c r="H339" s="5"/>
    </row>
    <row r="340" spans="8:8">
      <c r="H340" s="5"/>
    </row>
    <row r="341" spans="8:8">
      <c r="H341" s="5"/>
    </row>
    <row r="342" spans="8:8">
      <c r="H342" s="5"/>
    </row>
    <row r="343" spans="8:8">
      <c r="H343" s="5"/>
    </row>
    <row r="344" spans="8:8">
      <c r="H344" s="5"/>
    </row>
    <row r="345" spans="8:8">
      <c r="H345" s="5"/>
    </row>
    <row r="346" spans="8:8">
      <c r="H346" s="5"/>
    </row>
    <row r="347" spans="8:8">
      <c r="H347" s="5"/>
    </row>
    <row r="348" spans="8:8">
      <c r="H348" s="5"/>
    </row>
    <row r="349" spans="8:8">
      <c r="H349" s="5"/>
    </row>
    <row r="350" spans="8:8">
      <c r="H350" s="5"/>
    </row>
    <row r="351" spans="8:8">
      <c r="H351" s="5"/>
    </row>
    <row r="352" spans="8:8">
      <c r="H352" s="5"/>
    </row>
    <row r="353" spans="8:8">
      <c r="H353" s="5"/>
    </row>
    <row r="354" spans="8:8">
      <c r="H354" s="5"/>
    </row>
    <row r="355" spans="8:8">
      <c r="H355" s="5"/>
    </row>
    <row r="356" spans="8:8">
      <c r="H356" s="5"/>
    </row>
    <row r="357" spans="8:8">
      <c r="H357" s="5"/>
    </row>
    <row r="358" spans="8:8">
      <c r="H358" s="5"/>
    </row>
    <row r="359" spans="8:8">
      <c r="H359" s="5"/>
    </row>
    <row r="360" spans="8:8">
      <c r="H360" s="5"/>
    </row>
    <row r="361" spans="8:8">
      <c r="H361" s="5"/>
    </row>
    <row r="362" spans="8:8">
      <c r="H362" s="5"/>
    </row>
    <row r="363" spans="8:8">
      <c r="H363" s="5"/>
    </row>
    <row r="364" spans="8:8">
      <c r="H364" s="5"/>
    </row>
    <row r="365" spans="8:8">
      <c r="H365" s="5"/>
    </row>
    <row r="366" spans="8:8">
      <c r="H366" s="5"/>
    </row>
    <row r="367" spans="8:8">
      <c r="H367" s="5"/>
    </row>
    <row r="368" spans="8:8">
      <c r="H368" s="5"/>
    </row>
    <row r="369" spans="8:8">
      <c r="H369" s="5"/>
    </row>
    <row r="370" spans="8:8">
      <c r="H370" s="5"/>
    </row>
    <row r="371" spans="8:8">
      <c r="H371" s="5"/>
    </row>
    <row r="372" spans="8:8">
      <c r="H372" s="5"/>
    </row>
    <row r="373" spans="8:8">
      <c r="H373" s="5"/>
    </row>
    <row r="374" spans="8:8">
      <c r="H374" s="5"/>
    </row>
    <row r="375" spans="8:8">
      <c r="H375" s="5"/>
    </row>
    <row r="376" spans="8:8">
      <c r="H376" s="5"/>
    </row>
    <row r="377" spans="8:8">
      <c r="H377" s="5"/>
    </row>
    <row r="378" spans="8:8">
      <c r="H378" s="5"/>
    </row>
    <row r="379" spans="8:8">
      <c r="H379" s="5"/>
    </row>
    <row r="380" spans="8:8">
      <c r="H380" s="5"/>
    </row>
    <row r="381" spans="8:8">
      <c r="H381" s="5"/>
    </row>
    <row r="382" spans="8:8">
      <c r="H382" s="5"/>
    </row>
    <row r="383" spans="8:8">
      <c r="H383" s="5"/>
    </row>
    <row r="384" spans="8:8">
      <c r="H384" s="5"/>
    </row>
    <row r="385" spans="8:8">
      <c r="H385" s="5"/>
    </row>
    <row r="386" spans="8:8">
      <c r="H386" s="5"/>
    </row>
    <row r="387" spans="8:8">
      <c r="H387" s="5"/>
    </row>
    <row r="388" spans="8:8">
      <c r="H388" s="5"/>
    </row>
    <row r="389" spans="8:8">
      <c r="H389" s="5"/>
    </row>
    <row r="390" spans="8:8">
      <c r="H390" s="5"/>
    </row>
    <row r="391" spans="8:8">
      <c r="H391" s="5"/>
    </row>
    <row r="392" spans="8:8">
      <c r="H392" s="5"/>
    </row>
    <row r="393" spans="8:8">
      <c r="H393" s="5"/>
    </row>
    <row r="394" spans="8:8">
      <c r="H394" s="5"/>
    </row>
    <row r="395" spans="8:8">
      <c r="H395" s="5"/>
    </row>
    <row r="396" spans="8:8">
      <c r="H396" s="5"/>
    </row>
    <row r="397" spans="8:8">
      <c r="H397" s="5"/>
    </row>
    <row r="398" spans="8:8">
      <c r="H398" s="5"/>
    </row>
    <row r="399" spans="8:8">
      <c r="H399" s="5"/>
    </row>
    <row r="400" spans="8:8">
      <c r="H400" s="5"/>
    </row>
    <row r="401" spans="8:8">
      <c r="H401" s="5"/>
    </row>
    <row r="402" spans="8:8">
      <c r="H402" s="5"/>
    </row>
    <row r="403" spans="8:8">
      <c r="H403" s="5"/>
    </row>
    <row r="404" spans="8:8">
      <c r="H404" s="5"/>
    </row>
    <row r="405" spans="8:8">
      <c r="H405" s="5"/>
    </row>
    <row r="406" spans="8:8">
      <c r="H406" s="5"/>
    </row>
    <row r="407" spans="8:8">
      <c r="H407" s="5"/>
    </row>
    <row r="408" spans="8:8">
      <c r="H408" s="5"/>
    </row>
    <row r="409" spans="8:8">
      <c r="H409" s="5"/>
    </row>
    <row r="410" spans="8:8">
      <c r="H410" s="5"/>
    </row>
    <row r="411" spans="8:8">
      <c r="H411" s="5"/>
    </row>
    <row r="412" spans="8:8">
      <c r="H412" s="5"/>
    </row>
    <row r="413" spans="8:8">
      <c r="H413" s="5"/>
    </row>
    <row r="414" spans="8:8">
      <c r="H414" s="5"/>
    </row>
    <row r="415" spans="8:8">
      <c r="H415" s="5"/>
    </row>
    <row r="416" spans="8:8">
      <c r="H416" s="5"/>
    </row>
    <row r="417" spans="8:8">
      <c r="H417" s="5"/>
    </row>
    <row r="418" spans="8:8">
      <c r="H418" s="5"/>
    </row>
    <row r="419" spans="8:8">
      <c r="H419" s="5"/>
    </row>
    <row r="420" spans="8:8">
      <c r="H420" s="5"/>
    </row>
    <row r="421" spans="8:8">
      <c r="H421" s="5"/>
    </row>
    <row r="422" spans="8:8">
      <c r="H422" s="5"/>
    </row>
    <row r="423" spans="8:8">
      <c r="H423" s="5"/>
    </row>
    <row r="424" spans="8:8">
      <c r="H424" s="5"/>
    </row>
    <row r="425" spans="8:8">
      <c r="H425" s="5"/>
    </row>
    <row r="426" spans="8:8">
      <c r="H426" s="5"/>
    </row>
    <row r="427" spans="8:8">
      <c r="H427" s="5"/>
    </row>
    <row r="428" spans="8:8">
      <c r="H428" s="5"/>
    </row>
    <row r="429" spans="8:8">
      <c r="H429" s="5"/>
    </row>
    <row r="430" spans="8:8">
      <c r="H430" s="5"/>
    </row>
    <row r="431" spans="8:8">
      <c r="H431" s="5"/>
    </row>
    <row r="432" spans="8:8">
      <c r="H432" s="5"/>
    </row>
    <row r="433" spans="8:8">
      <c r="H433" s="5"/>
    </row>
    <row r="434" spans="8:8">
      <c r="H434" s="5"/>
    </row>
    <row r="435" spans="8:8">
      <c r="H435" s="5"/>
    </row>
    <row r="436" spans="8:8">
      <c r="H436" s="5"/>
    </row>
    <row r="437" spans="8:8">
      <c r="H437" s="5"/>
    </row>
    <row r="438" spans="8:8">
      <c r="H438" s="5"/>
    </row>
    <row r="439" spans="8:8">
      <c r="H439" s="5"/>
    </row>
    <row r="440" spans="8:8">
      <c r="H440" s="5"/>
    </row>
    <row r="441" spans="8:8">
      <c r="H441" s="5"/>
    </row>
    <row r="442" spans="8:8">
      <c r="H442" s="5"/>
    </row>
    <row r="443" spans="8:8">
      <c r="H443" s="5"/>
    </row>
    <row r="444" spans="8:8">
      <c r="H444" s="5"/>
    </row>
    <row r="445" spans="8:8">
      <c r="H445" s="5"/>
    </row>
    <row r="446" spans="8:8">
      <c r="H446" s="5"/>
    </row>
    <row r="447" spans="8:8">
      <c r="H447" s="5"/>
    </row>
    <row r="448" spans="8:8">
      <c r="H448" s="5"/>
    </row>
    <row r="449" spans="8:8">
      <c r="H449" s="5"/>
    </row>
    <row r="450" spans="8:8">
      <c r="H450" s="5"/>
    </row>
    <row r="451" spans="8:8">
      <c r="H451" s="5"/>
    </row>
    <row r="452" spans="8:8">
      <c r="H452" s="5"/>
    </row>
    <row r="453" spans="8:8">
      <c r="H453" s="5"/>
    </row>
    <row r="454" spans="8:8">
      <c r="H454" s="5"/>
    </row>
    <row r="455" spans="8:8">
      <c r="H455" s="5"/>
    </row>
    <row r="456" spans="8:8">
      <c r="H456" s="5"/>
    </row>
    <row r="457" spans="8:8">
      <c r="H457" s="5"/>
    </row>
    <row r="458" spans="8:8">
      <c r="H458" s="5"/>
    </row>
    <row r="459" spans="8:8">
      <c r="H459" s="5"/>
    </row>
    <row r="460" spans="8:8">
      <c r="H460" s="5"/>
    </row>
    <row r="461" spans="8:8">
      <c r="H461" s="5"/>
    </row>
    <row r="462" spans="8:8">
      <c r="H462" s="5"/>
    </row>
    <row r="463" spans="8:8">
      <c r="H463" s="5"/>
    </row>
    <row r="464" spans="8:8">
      <c r="H464" s="5"/>
    </row>
    <row r="465" spans="8:8">
      <c r="H465" s="5"/>
    </row>
    <row r="466" spans="8:8">
      <c r="H466" s="5"/>
    </row>
    <row r="467" spans="8:8">
      <c r="H467" s="5"/>
    </row>
    <row r="468" spans="8:8">
      <c r="H468" s="5"/>
    </row>
    <row r="469" spans="8:8">
      <c r="H469" s="5"/>
    </row>
    <row r="470" spans="8:8">
      <c r="H470" s="5"/>
    </row>
    <row r="471" spans="8:8">
      <c r="H471" s="5"/>
    </row>
    <row r="472" spans="8:8">
      <c r="H472" s="5"/>
    </row>
    <row r="473" spans="8:8">
      <c r="H473" s="5"/>
    </row>
    <row r="474" spans="8:8">
      <c r="H474" s="5"/>
    </row>
    <row r="475" spans="8:8">
      <c r="H475" s="5"/>
    </row>
    <row r="476" spans="8:8">
      <c r="H476" s="5"/>
    </row>
    <row r="477" spans="8:8">
      <c r="H477" s="5"/>
    </row>
    <row r="478" spans="8:8">
      <c r="H478" s="5"/>
    </row>
    <row r="479" spans="8:8">
      <c r="H479" s="5"/>
    </row>
    <row r="480" spans="8:8">
      <c r="H480" s="5"/>
    </row>
    <row r="481" spans="8:8">
      <c r="H481" s="5"/>
    </row>
    <row r="482" spans="8:8">
      <c r="H482" s="5"/>
    </row>
    <row r="483" spans="8:8">
      <c r="H483" s="5"/>
    </row>
    <row r="484" spans="8:8">
      <c r="H484" s="5"/>
    </row>
    <row r="485" spans="8:8">
      <c r="H485" s="5"/>
    </row>
    <row r="486" spans="8:8">
      <c r="H486" s="5"/>
    </row>
    <row r="487" spans="8:8">
      <c r="H487" s="5"/>
    </row>
    <row r="488" spans="8:8">
      <c r="H488" s="5"/>
    </row>
    <row r="489" spans="8:8">
      <c r="H489" s="5"/>
    </row>
    <row r="490" spans="8:8">
      <c r="H490" s="5"/>
    </row>
    <row r="491" spans="8:8">
      <c r="H491" s="5"/>
    </row>
    <row r="492" spans="8:8">
      <c r="H492" s="5"/>
    </row>
    <row r="493" spans="8:8">
      <c r="H493" s="5"/>
    </row>
    <row r="494" spans="8:8">
      <c r="H494" s="5"/>
    </row>
    <row r="495" spans="8:8">
      <c r="H495" s="5"/>
    </row>
    <row r="496" spans="8:8">
      <c r="H496" s="5"/>
    </row>
    <row r="497" spans="8:8">
      <c r="H497" s="5"/>
    </row>
    <row r="498" spans="8:8">
      <c r="H498" s="5"/>
    </row>
    <row r="499" spans="8:8">
      <c r="H499" s="5"/>
    </row>
    <row r="500" spans="8:8">
      <c r="H500" s="5"/>
    </row>
    <row r="501" spans="8:8">
      <c r="H501" s="5"/>
    </row>
    <row r="502" spans="8:8">
      <c r="H502" s="5"/>
    </row>
    <row r="503" spans="8:8">
      <c r="H503" s="5"/>
    </row>
    <row r="504" spans="8:8">
      <c r="H504" s="5"/>
    </row>
    <row r="505" spans="8:8">
      <c r="H505" s="5"/>
    </row>
    <row r="506" spans="8:8">
      <c r="H506" s="5"/>
    </row>
    <row r="507" spans="8:8">
      <c r="H507" s="5"/>
    </row>
    <row r="508" spans="8:8">
      <c r="H508" s="5"/>
    </row>
    <row r="509" spans="8:8">
      <c r="H509" s="5"/>
    </row>
    <row r="510" spans="8:8">
      <c r="H510" s="5"/>
    </row>
    <row r="511" spans="8:8">
      <c r="H511" s="5"/>
    </row>
    <row r="512" spans="8:8">
      <c r="H512" s="5"/>
    </row>
    <row r="513" spans="8:8">
      <c r="H513" s="5"/>
    </row>
    <row r="514" spans="8:8">
      <c r="H514" s="5"/>
    </row>
    <row r="515" spans="8:8">
      <c r="H515" s="5"/>
    </row>
    <row r="516" spans="8:8">
      <c r="H516" s="5"/>
    </row>
    <row r="517" spans="8:8">
      <c r="H517" s="5"/>
    </row>
    <row r="518" spans="8:8">
      <c r="H518" s="5"/>
    </row>
    <row r="519" spans="8:8">
      <c r="H519" s="5"/>
    </row>
    <row r="520" spans="8:8">
      <c r="H520" s="5"/>
    </row>
    <row r="521" spans="8:8">
      <c r="H521" s="5"/>
    </row>
    <row r="522" spans="8:8">
      <c r="H522" s="5"/>
    </row>
    <row r="523" spans="8:8">
      <c r="H523" s="5"/>
    </row>
    <row r="524" spans="8:8">
      <c r="H524" s="5"/>
    </row>
    <row r="525" spans="8:8">
      <c r="H525" s="5"/>
    </row>
    <row r="526" spans="8:8">
      <c r="H526" s="5"/>
    </row>
    <row r="527" spans="8:8">
      <c r="H527" s="5"/>
    </row>
    <row r="528" spans="8:8">
      <c r="H528" s="5"/>
    </row>
    <row r="529" spans="8:8">
      <c r="H529" s="5"/>
    </row>
    <row r="530" spans="8:8">
      <c r="H530" s="5"/>
    </row>
    <row r="531" spans="8:8">
      <c r="H531" s="5"/>
    </row>
    <row r="532" spans="8:8">
      <c r="H532" s="5"/>
    </row>
  </sheetData>
  <mergeCells count="11">
    <mergeCell ref="B1:J1"/>
    <mergeCell ref="C7:F7"/>
    <mergeCell ref="C5:F5"/>
    <mergeCell ref="K10:K13"/>
    <mergeCell ref="C6:F6"/>
    <mergeCell ref="K17:K18"/>
    <mergeCell ref="K19:K20"/>
    <mergeCell ref="K22:K24"/>
    <mergeCell ref="K40:K41"/>
    <mergeCell ref="C3:F3"/>
    <mergeCell ref="C4:F4"/>
  </mergeCells>
  <phoneticPr fontId="3" type="noConversion"/>
  <printOptions horizontalCentered="1"/>
  <pageMargins left="0.25" right="0.25" top="0.53" bottom="0.3" header="0.24" footer="0.1"/>
  <pageSetup scale="97" fitToHeight="6" orientation="landscape" r:id="rId1"/>
  <headerFooter alignWithMargins="0">
    <oddFooter>&amp;R&amp;P</oddFooter>
  </headerFooter>
  <rowBreaks count="1" manualBreakCount="1">
    <brk id="23" max="14" man="1"/>
  </rowBreak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D7DD1-1998-45FB-B2A6-1F960319F442}">
  <dimension ref="A1:A28"/>
  <sheetViews>
    <sheetView topLeftCell="A13" workbookViewId="0">
      <selection activeCell="I12" sqref="I12"/>
    </sheetView>
  </sheetViews>
  <sheetFormatPr defaultRowHeight="12.6"/>
  <sheetData>
    <row r="1" spans="1:1" ht="15">
      <c r="A1" s="72" t="s">
        <v>102</v>
      </c>
    </row>
    <row r="2" spans="1:1" ht="15">
      <c r="A2" s="73"/>
    </row>
    <row r="3" spans="1:1" ht="15">
      <c r="A3" s="73" t="s">
        <v>103</v>
      </c>
    </row>
    <row r="4" spans="1:1" ht="15.6">
      <c r="A4" s="74"/>
    </row>
    <row r="5" spans="1:1" ht="15.6">
      <c r="A5" s="74" t="s">
        <v>104</v>
      </c>
    </row>
    <row r="6" spans="1:1" ht="15.6">
      <c r="A6" s="74"/>
    </row>
    <row r="7" spans="1:1" ht="15">
      <c r="A7" s="72" t="s">
        <v>105</v>
      </c>
    </row>
    <row r="8" spans="1:1" ht="15.6">
      <c r="A8" s="74" t="s">
        <v>106</v>
      </c>
    </row>
    <row r="9" spans="1:1" ht="15.6">
      <c r="A9" s="74"/>
    </row>
    <row r="10" spans="1:1" ht="15">
      <c r="A10" s="72" t="s">
        <v>107</v>
      </c>
    </row>
    <row r="11" spans="1:1" ht="15.6">
      <c r="A11" s="74" t="s">
        <v>108</v>
      </c>
    </row>
    <row r="12" spans="1:1" ht="15.6">
      <c r="A12" s="74"/>
    </row>
    <row r="13" spans="1:1" ht="15">
      <c r="A13" s="72" t="s">
        <v>109</v>
      </c>
    </row>
    <row r="14" spans="1:1" ht="14.1">
      <c r="A14" s="75" t="s">
        <v>110</v>
      </c>
    </row>
    <row r="15" spans="1:1" ht="15">
      <c r="A15" s="73"/>
    </row>
    <row r="16" spans="1:1" ht="15">
      <c r="A16" s="72" t="s">
        <v>111</v>
      </c>
    </row>
    <row r="17" spans="1:1" ht="15.6">
      <c r="A17" s="74" t="s">
        <v>112</v>
      </c>
    </row>
    <row r="18" spans="1:1" ht="15.6">
      <c r="A18" s="74"/>
    </row>
    <row r="19" spans="1:1" ht="15">
      <c r="A19" s="72" t="s">
        <v>113</v>
      </c>
    </row>
    <row r="20" spans="1:1" ht="15">
      <c r="A20" s="72"/>
    </row>
    <row r="21" spans="1:1" ht="15">
      <c r="A21" s="72" t="s">
        <v>114</v>
      </c>
    </row>
    <row r="22" spans="1:1" ht="15.6">
      <c r="A22" s="74" t="s">
        <v>115</v>
      </c>
    </row>
    <row r="23" spans="1:1" ht="15.6">
      <c r="A23" s="74" t="s">
        <v>116</v>
      </c>
    </row>
    <row r="24" spans="1:1" ht="15.6">
      <c r="A24" s="74" t="s">
        <v>117</v>
      </c>
    </row>
    <row r="25" spans="1:1" ht="15.6">
      <c r="A25" s="74"/>
    </row>
    <row r="26" spans="1:1" ht="15">
      <c r="A26" s="72" t="s">
        <v>118</v>
      </c>
    </row>
    <row r="27" spans="1:1" ht="15.6">
      <c r="A27" s="74" t="s">
        <v>119</v>
      </c>
    </row>
    <row r="28" spans="1:1" ht="15">
      <c r="A28" s="7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F1FBFF1EF41CE4689282281F35D4BD9" ma:contentTypeVersion="19" ma:contentTypeDescription="Create a new document." ma:contentTypeScope="" ma:versionID="5c13c970e838622738dab37b578c9074">
  <xsd:schema xmlns:xsd="http://www.w3.org/2001/XMLSchema" xmlns:xs="http://www.w3.org/2001/XMLSchema" xmlns:p="http://schemas.microsoft.com/office/2006/metadata/properties" xmlns:ns2="29553325-caeb-4f74-9bf8-192c9c5c192a" xmlns:ns3="25cf13b4-8bfb-4555-b1c0-ca2cfe9bea6e" targetNamespace="http://schemas.microsoft.com/office/2006/metadata/properties" ma:root="true" ma:fieldsID="22f8baea950a77c5de51edc1c6b4ec4d" ns2:_="" ns3:_="">
    <xsd:import namespace="29553325-caeb-4f74-9bf8-192c9c5c192a"/>
    <xsd:import namespace="25cf13b4-8bfb-4555-b1c0-ca2cfe9bea6e"/>
    <xsd:element name="properties">
      <xsd:complexType>
        <xsd:sequence>
          <xsd:element name="documentManagement">
            <xsd:complexType>
              <xsd:all>
                <xsd:element ref="ns2:SharedWithUsers" minOccurs="0"/>
                <xsd:element ref="ns2:SharedWithDetails" minOccurs="0"/>
                <xsd:element ref="ns2:b06abbc336fe44ba87d7f713d786e961" minOccurs="0"/>
                <xsd:element ref="ns2:TaxCatchAll" minOccurs="0"/>
                <xsd:element ref="ns2:ee199c7f57bb46078f282f0716b77fac" minOccurs="0"/>
                <xsd:element ref="ns3:MediaServiceMetadata" minOccurs="0"/>
                <xsd:element ref="ns3:MediaServiceFastMetadata" minOccurs="0"/>
                <xsd:element ref="ns3:MediaServiceSearchProperties" minOccurs="0"/>
                <xsd:element ref="ns3:MediaServiceObjectDetectorVersions" minOccurs="0"/>
                <xsd:element ref="ns3:lcf76f155ced4ddcb4097134ff3c332f" minOccurs="0"/>
                <xsd:element ref="ns3:MediaServiceDateTaken" minOccurs="0"/>
                <xsd:element ref="ns3:MediaServiceOCR" minOccurs="0"/>
                <xsd:element ref="ns3:MediaServiceGenerationTime" minOccurs="0"/>
                <xsd:element ref="ns3:MediaServiceEventHashCode" minOccurs="0"/>
                <xsd:element ref="ns3:MediaLengthInSecond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553325-caeb-4f74-9bf8-192c9c5c192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b06abbc336fe44ba87d7f713d786e961" ma:index="11" nillable="true" ma:taxonomy="true" ma:internalName="b06abbc336fe44ba87d7f713d786e961" ma:taxonomyFieldName="Program" ma:displayName="Program" ma:default="1;#2110|7a91211d-e15d-49cb-be32-e40785e5c2da" ma:fieldId="{b06abbc3-36fe-44ba-87d7-f713d786e961}" ma:sspId="fe952b0e-87b1-4651-bd97-4ae9bbb31ca5" ma:termSetId="77eb5a22-eacd-4a56-8e87-3b6b85d80eaa" ma:anchorId="00000000-0000-0000-0000-000000000000" ma:open="false" ma:isKeyword="false">
      <xsd:complexType>
        <xsd:sequence>
          <xsd:element ref="pc:Terms" minOccurs="0" maxOccurs="1"/>
        </xsd:sequence>
      </xsd:complexType>
    </xsd:element>
    <xsd:element name="TaxCatchAll" ma:index="12" nillable="true" ma:displayName="Taxonomy Catch All Column" ma:hidden="true" ma:list="{1e3f8b4c-3f16-4832-8e8b-af3793e9fcd4}" ma:internalName="TaxCatchAll" ma:showField="CatchAllData" ma:web="29553325-caeb-4f74-9bf8-192c9c5c192a">
      <xsd:complexType>
        <xsd:complexContent>
          <xsd:extension base="dms:MultiChoiceLookup">
            <xsd:sequence>
              <xsd:element name="Value" type="dms:Lookup" maxOccurs="unbounded" minOccurs="0" nillable="true"/>
            </xsd:sequence>
          </xsd:extension>
        </xsd:complexContent>
      </xsd:complexType>
    </xsd:element>
    <xsd:element name="ee199c7f57bb46078f282f0716b77fac" ma:index="14" nillable="true" ma:taxonomy="true" ma:internalName="ee199c7f57bb46078f282f0716b77fac" ma:taxonomyFieldName="Country" ma:displayName="Country" ma:default="2;#Ukraine|6c0a03d6-d55a-453f-ac0b-6a8efd2ac28e" ma:fieldId="{ee199c7f-57bb-4607-8f28-2f0716b77fac}" ma:sspId="fe952b0e-87b1-4651-bd97-4ae9bbb31ca5" ma:termSetId="1aae8845-0c15-4b09-8c7f-8bc1846b1d03"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5cf13b4-8bfb-4555-b1c0-ca2cfe9bea6e" elementFormDefault="qualified">
    <xsd:import namespace="http://schemas.microsoft.com/office/2006/documentManagement/types"/>
    <xsd:import namespace="http://schemas.microsoft.com/office/infopath/2007/PartnerControls"/>
    <xsd:element name="MediaServiceMetadata" ma:index="15" nillable="true" ma:displayName="MediaServiceMetadata" ma:hidden="true" ma:internalName="MediaServiceMetadata" ma:readOnly="true">
      <xsd:simpleType>
        <xsd:restriction base="dms:Note"/>
      </xsd:simpleType>
    </xsd:element>
    <xsd:element name="MediaServiceFastMetadata" ma:index="16" nillable="true" ma:displayName="MediaServiceFastMetadata" ma:hidden="true" ma:internalName="MediaServiceFastMetadata" ma:readOnly="true">
      <xsd:simpleType>
        <xsd:restriction base="dms:Note"/>
      </xsd:simpleType>
    </xsd:element>
    <xsd:element name="MediaServiceSearchProperties" ma:index="17" nillable="true" ma:displayName="MediaServiceSearchProperties" ma:hidden="true" ma:internalName="MediaServiceSearchProperties" ma:readOnly="true">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fe952b0e-87b1-4651-bd97-4ae9bbb31ca5" ma:termSetId="09814cd3-568e-fe90-9814-8d621ff8fb84" ma:anchorId="fba54fb3-c3e1-fe81-a776-ca4b69148c4d" ma:open="true" ma:isKeyword="false">
      <xsd:complexType>
        <xsd:sequence>
          <xsd:element ref="pc:Terms" minOccurs="0" maxOccurs="1"/>
        </xsd:sequence>
      </xsd:complexType>
    </xsd:element>
    <xsd:element name="MediaServiceDateTaken" ma:index="21" nillable="true" ma:displayName="MediaServiceDateTaken" ma:hidden="true" ma:indexed="true" ma:internalName="MediaServiceDateTaken" ma:readOnly="true">
      <xsd:simpleType>
        <xsd:restriction base="dms:Text"/>
      </xsd:simpleType>
    </xsd:element>
    <xsd:element name="MediaServiceOCR" ma:index="22" nillable="true" ma:displayName="Extracted Text" ma:internalName="MediaServiceOCR" ma:readOnly="true">
      <xsd:simpleType>
        <xsd:restriction base="dms:Note">
          <xsd:maxLength value="255"/>
        </xsd:restriction>
      </xsd:simpleType>
    </xsd:element>
    <xsd:element name="MediaServiceGenerationTime" ma:index="23" nillable="true" ma:displayName="MediaServiceGenerationTime" ma:hidden="true" ma:internalName="MediaServiceGenerationTime" ma:readOnly="true">
      <xsd:simpleType>
        <xsd:restriction base="dms:Text"/>
      </xsd:simpleType>
    </xsd:element>
    <xsd:element name="MediaServiceEventHashCode" ma:index="24" nillable="true" ma:displayName="MediaServiceEventHashCode" ma:hidden="true" ma:internalName="MediaServiceEventHashCode" ma:readOnly="true">
      <xsd:simpleType>
        <xsd:restriction base="dms:Text"/>
      </xsd:simpleType>
    </xsd:element>
    <xsd:element name="MediaLengthInSeconds" ma:index="25" nillable="true" ma:displayName="MediaLengthInSeconds" ma:hidden="true" ma:internalName="MediaLengthInSeconds" ma:readOnly="true">
      <xsd:simpleType>
        <xsd:restriction base="dms:Unknown"/>
      </xsd:simpleType>
    </xsd:element>
    <xsd:element name="MediaServiceLocation" ma:index="26"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29553325-caeb-4f74-9bf8-192c9c5c192a">
      <Value>2</Value>
      <Value>1</Value>
    </TaxCatchAll>
    <lcf76f155ced4ddcb4097134ff3c332f xmlns="25cf13b4-8bfb-4555-b1c0-ca2cfe9bea6e">
      <Terms xmlns="http://schemas.microsoft.com/office/infopath/2007/PartnerControls"/>
    </lcf76f155ced4ddcb4097134ff3c332f>
    <b06abbc336fe44ba87d7f713d786e961 xmlns="29553325-caeb-4f74-9bf8-192c9c5c192a">
      <Terms xmlns="http://schemas.microsoft.com/office/infopath/2007/PartnerControls">
        <TermInfo xmlns="http://schemas.microsoft.com/office/infopath/2007/PartnerControls">
          <TermName xmlns="http://schemas.microsoft.com/office/infopath/2007/PartnerControls">2110</TermName>
          <TermId xmlns="http://schemas.microsoft.com/office/infopath/2007/PartnerControls">7a91211d-e15d-49cb-be32-e40785e5c2da</TermId>
        </TermInfo>
      </Terms>
    </b06abbc336fe44ba87d7f713d786e961>
    <ee199c7f57bb46078f282f0716b77fac xmlns="29553325-caeb-4f74-9bf8-192c9c5c192a">
      <Terms xmlns="http://schemas.microsoft.com/office/infopath/2007/PartnerControls">
        <TermInfo xmlns="http://schemas.microsoft.com/office/infopath/2007/PartnerControls">
          <TermName xmlns="http://schemas.microsoft.com/office/infopath/2007/PartnerControls">Ukraine</TermName>
          <TermId xmlns="http://schemas.microsoft.com/office/infopath/2007/PartnerControls">6c0a03d6-d55a-453f-ac0b-6a8efd2ac28e</TermId>
        </TermInfo>
      </Terms>
    </ee199c7f57bb46078f282f0716b77fac>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0829CC93-83C9-45B5-AE2C-3EE53AC8BC7E}"/>
</file>

<file path=customXml/itemProps2.xml><?xml version="1.0" encoding="utf-8"?>
<ds:datastoreItem xmlns:ds="http://schemas.openxmlformats.org/officeDocument/2006/customXml" ds:itemID="{D4C0F60F-4C3B-4463-BF1E-C6D9D3EFED05}"/>
</file>

<file path=customXml/itemProps3.xml><?xml version="1.0" encoding="utf-8"?>
<ds:datastoreItem xmlns:ds="http://schemas.openxmlformats.org/officeDocument/2006/customXml" ds:itemID="{C8203E8E-6CC6-46C5-9796-4249E44B5B89}"/>
</file>

<file path=customXml/itemProps4.xml><?xml version="1.0" encoding="utf-8"?>
<ds:datastoreItem xmlns:ds="http://schemas.openxmlformats.org/officeDocument/2006/customXml" ds:itemID="{8C3FEFE2-B615-4A7E-96B7-AF68A0C242BA}"/>
</file>

<file path=docProps/app.xml><?xml version="1.0" encoding="utf-8"?>
<Properties xmlns="http://schemas.openxmlformats.org/officeDocument/2006/extended-properties" xmlns:vt="http://schemas.openxmlformats.org/officeDocument/2006/docPropsVTypes">
  <Application>Microsoft Excel Online</Application>
  <Manager/>
  <Company>IREX</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kwitting</dc:creator>
  <cp:keywords/>
  <dc:description/>
  <cp:lastModifiedBy/>
  <cp:revision/>
  <dcterms:created xsi:type="dcterms:W3CDTF">2003-03-03T19:41:16Z</dcterms:created>
  <dcterms:modified xsi:type="dcterms:W3CDTF">2026-05-13T06:38:30Z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0x0101008F1FBFF1EF41CE4689282281F35D4BD9</vt:lpwstr>
  </property>
  <property fmtid="{D5CDD505-2E9C-101B-9397-08002B2CF9AE}" pid="3" name="Order">
    <vt:r8>100</vt:r8>
  </property>
  <property fmtid="{D5CDD505-2E9C-101B-9397-08002B2CF9AE}" pid="4" name="Country">
    <vt:lpwstr>2;#Ukraine|6c0a03d6-d55a-453f-ac0b-6a8efd2ac28e</vt:lpwstr>
  </property>
  <property fmtid="{D5CDD505-2E9C-101B-9397-08002B2CF9AE}" pid="5" name="Programs">
    <vt:lpwstr>1;#2090|bc07ae6d-31af-430f-807d-a56761a27e6d</vt:lpwstr>
  </property>
  <property fmtid="{D5CDD505-2E9C-101B-9397-08002B2CF9AE}" pid="6" name="TaxCatchAll">
    <vt:lpwstr>2;#Ukraine|6c0a03d6-d55a-453f-ac0b-6a8efd2ac28e;#1;#2090|bc07ae6d-31af-430f-807d-a56761a27e6d</vt:lpwstr>
  </property>
  <property fmtid="{D5CDD505-2E9C-101B-9397-08002B2CF9AE}" pid="7" name="ka502e3987c947ab93544d71bdb54a03">
    <vt:lpwstr>Ukraine|6c0a03d6-d55a-453f-ac0b-6a8efd2ac28e</vt:lpwstr>
  </property>
  <property fmtid="{D5CDD505-2E9C-101B-9397-08002B2CF9AE}" pid="8" name="b55532704ee84662ab644f60d6368f43">
    <vt:lpwstr>2090|bc07ae6d-31af-430f-807d-a56761a27e6d</vt:lpwstr>
  </property>
  <property fmtid="{D5CDD505-2E9C-101B-9397-08002B2CF9AE}" pid="9" name="MediaServiceImageTags">
    <vt:lpwstr/>
  </property>
  <property fmtid="{D5CDD505-2E9C-101B-9397-08002B2CF9AE}" pid="10" name="lcf76f155ced4ddcb4097134ff3c332f">
    <vt:lpwstr/>
  </property>
  <property fmtid="{D5CDD505-2E9C-101B-9397-08002B2CF9AE}" pid="11" name="Sign-off status">
    <vt:lpwstr/>
  </property>
</Properties>
</file>